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S:\practice\"/>
    </mc:Choice>
  </mc:AlternateContent>
  <xr:revisionPtr revIDLastSave="0" documentId="13_ncr:1_{ED175B00-CFE3-4145-B773-318ECAD3CB35}" xr6:coauthVersionLast="47" xr6:coauthVersionMax="47" xr10:uidLastSave="{00000000-0000-0000-0000-000000000000}"/>
  <bookViews>
    <workbookView xWindow="-108" yWindow="-108" windowWidth="23256" windowHeight="12456" activeTab="7" xr2:uid="{346724B3-1C49-40AE-AA36-C77CF5D6DD09}"/>
  </bookViews>
  <sheets>
    <sheet name="pivots" sheetId="5" r:id="rId1"/>
    <sheet name="Sheet2" sheetId="6" r:id="rId2"/>
    <sheet name="Sheet3" sheetId="7" r:id="rId3"/>
    <sheet name="Sheet4" sheetId="8" r:id="rId4"/>
    <sheet name="Sheet5" sheetId="9" r:id="rId5"/>
    <sheet name="Sheet6" sheetId="10" r:id="rId6"/>
    <sheet name="Data" sheetId="1" r:id="rId7"/>
    <sheet name="Dashboard" sheetId="3" r:id="rId8"/>
  </sheets>
  <definedNames>
    <definedName name="_xlchart.v5.0" hidden="1">Sheet5!$G$3:$H$3</definedName>
    <definedName name="_xlchart.v5.1" hidden="1">Sheet5!$G$4:$H$61</definedName>
    <definedName name="_xlchart.v5.10" hidden="1">Sheet5!$G$3:$H$3</definedName>
    <definedName name="_xlchart.v5.11" hidden="1">Sheet5!$G$4:$H$61</definedName>
    <definedName name="_xlchart.v5.12" hidden="1">Sheet5!$I$2:$I$3</definedName>
    <definedName name="_xlchart.v5.13" hidden="1">Sheet5!$I$3</definedName>
    <definedName name="_xlchart.v5.14" hidden="1">Sheet5!$I$4:$I$61</definedName>
    <definedName name="_xlchart.v5.2" hidden="1">Sheet5!$I$2:$I$3</definedName>
    <definedName name="_xlchart.v5.3" hidden="1">Sheet5!$I$3</definedName>
    <definedName name="_xlchart.v5.4" hidden="1">Sheet5!$I$4:$I$61</definedName>
    <definedName name="_xlchart.v5.5" hidden="1">Sheet5!$K$3:$L$3</definedName>
    <definedName name="_xlchart.v5.6" hidden="1">Sheet5!$K$4:$L$61</definedName>
    <definedName name="_xlchart.v5.7" hidden="1">Sheet5!$M$2:$M$3</definedName>
    <definedName name="_xlchart.v5.8" hidden="1">Sheet5!$M$3</definedName>
    <definedName name="_xlchart.v5.9" hidden="1">Sheet5!$M$4:$M$61</definedName>
    <definedName name="Slicer_Gender_Value">#N/A</definedName>
    <definedName name="Slicer_Order_Mod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 i="6" l="1"/>
  <c r="J6" i="6"/>
  <c r="K6" i="6"/>
  <c r="L6" i="6"/>
  <c r="I7" i="6"/>
  <c r="J7" i="6"/>
  <c r="K7" i="6"/>
  <c r="L7" i="6"/>
  <c r="I8" i="6"/>
  <c r="J8" i="6"/>
  <c r="K8" i="6"/>
  <c r="L8" i="6"/>
  <c r="I9" i="6"/>
  <c r="J9" i="6"/>
  <c r="K9" i="6"/>
  <c r="L9" i="6"/>
  <c r="J5" i="6"/>
  <c r="K5" i="6"/>
  <c r="L5" i="6"/>
  <c r="K4" i="6"/>
  <c r="L4" i="6"/>
  <c r="H6" i="6"/>
  <c r="H7" i="6"/>
  <c r="H8" i="6"/>
  <c r="H9" i="6"/>
  <c r="I5" i="6"/>
  <c r="H5" i="6"/>
  <c r="K4" i="5"/>
  <c r="J4" i="5"/>
  <c r="I4" i="5"/>
  <c r="H4" i="5"/>
  <c r="G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<sst xmlns="http://schemas.openxmlformats.org/spreadsheetml/2006/main" count="14856" uniqueCount="2528">
  <si>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</si>
  <si>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</si>
  <si>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</si>
  <si>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</si>
  <si>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</si>
  <si>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</si>
  <si>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</si>
  <si>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</si>
  <si>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</si>
  <si>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</si>
  <si>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</si>
  <si>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</si>
  <si>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</si>
  <si>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</si>
  <si>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</si>
  <si>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</si>
  <si>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</si>
  <si>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</si>
  <si>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</si>
  <si>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</si>
  <si>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</si>
  <si>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</si>
  <si>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</si>
  <si>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</si>
  <si>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</si>
  <si>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</si>
  <si>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</si>
  <si>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</si>
  <si>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</si>
  <si>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</si>
  <si>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</si>
  <si>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</si>
  <si>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</si>
  <si>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</si>
  <si>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</si>
  <si>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</si>
  <si>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</si>
  <si>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</si>
  <si>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</si>
  <si>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</si>
  <si>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</si>
  <si>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</si>
  <si>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</si>
  <si>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</si>
  <si>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</si>
  <si>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</si>
  <si>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</si>
  <si>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</si>
  <si>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</si>
  <si>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</si>
  <si>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</si>
  <si>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</si>
  <si>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</si>
  <si>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</si>
  <si>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</si>
  <si>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</si>
  <si>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</si>
  <si>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</si>
  <si>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</si>
  <si>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</si>
  <si>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</si>
  <si>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</si>
  <si>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</si>
  <si>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</si>
  <si>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</si>
  <si>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</si>
  <si>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</si>
  <si>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</si>
  <si>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</si>
  <si>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</si>
  <si>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</si>
  <si>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</si>
  <si>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</si>
  <si>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</si>
  <si>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</si>
  <si>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</si>
  <si>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</si>
  <si>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</si>
  <si>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</si>
  <si>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</si>
  <si>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</si>
  <si>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</si>
  <si>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</si>
  <si>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</si>
  <si>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</si>
  <si>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</si>
  <si>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</si>
  <si>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</si>
  <si>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</si>
  <si>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</si>
  <si>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</si>
  <si>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</si>
  <si>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</si>
  <si>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</si>
  <si>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</si>
  <si>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</si>
  <si>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</si>
  <si>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</si>
  <si>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</si>
  <si>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</si>
  <si>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</si>
  <si>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</si>
  <si>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</si>
  <si>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</si>
  <si>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</si>
  <si>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</si>
  <si>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</si>
  <si>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</si>
  <si>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</si>
  <si>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</si>
  <si>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</si>
  <si>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</si>
  <si>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</si>
  <si>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</si>
  <si>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</si>
  <si>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</si>
  <si>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</si>
  <si>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</si>
  <si>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</si>
  <si>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</si>
  <si>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</si>
  <si>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</si>
  <si>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</si>
  <si>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</si>
  <si>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</si>
  <si>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</si>
  <si>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</si>
  <si>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</si>
  <si>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</si>
  <si>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</si>
  <si>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</si>
  <si>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</si>
  <si>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</si>
  <si>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</si>
  <si>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</si>
  <si>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</si>
  <si>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</si>
  <si>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</si>
  <si>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</si>
  <si>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</si>
  <si>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</si>
  <si>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</si>
  <si>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</si>
  <si>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</si>
  <si>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</si>
  <si>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</si>
  <si>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</si>
  <si>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</si>
  <si>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</si>
  <si>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</si>
  <si>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</si>
  <si>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</si>
  <si>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</si>
  <si>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</si>
  <si>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</si>
  <si>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</si>
  <si>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</si>
  <si>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</si>
  <si>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</si>
  <si>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</si>
  <si>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</si>
  <si>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</si>
  <si>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</si>
  <si>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</si>
  <si>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</si>
  <si>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</si>
  <si>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</si>
  <si>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</si>
  <si>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</si>
  <si>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</si>
  <si>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</si>
  <si>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</si>
  <si>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</si>
  <si>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</si>
  <si>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</si>
  <si>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</si>
  <si>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</si>
  <si>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</si>
  <si>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</si>
  <si>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</si>
  <si>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</si>
  <si>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</si>
  <si>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</si>
  <si>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</si>
  <si>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</si>
  <si>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</si>
  <si>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</si>
  <si>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</si>
  <si>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</si>
  <si>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</si>
  <si>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</si>
  <si>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</si>
  <si>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</si>
  <si>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</si>
  <si>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</si>
  <si>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</si>
  <si>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</si>
  <si>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</si>
  <si>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</si>
  <si>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</si>
  <si>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</si>
  <si>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</si>
  <si>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</si>
  <si>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</si>
  <si>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</si>
  <si>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</si>
  <si>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</si>
  <si>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</si>
  <si>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</si>
  <si>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</si>
  <si>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</si>
  <si>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</si>
  <si>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</si>
  <si>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</si>
  <si>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</si>
  <si>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</si>
  <si>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</si>
  <si>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</si>
  <si>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</si>
  <si>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</si>
  <si>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</si>
  <si>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</si>
  <si>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</si>
  <si>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</si>
  <si>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</si>
  <si>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</si>
  <si>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</si>
  <si>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</si>
  <si>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</si>
  <si>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</si>
  <si>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</si>
  <si>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</si>
  <si>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</si>
  <si>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</si>
  <si>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</si>
  <si>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</si>
  <si>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</si>
  <si>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</si>
  <si>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</si>
  <si>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</si>
  <si>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</si>
  <si>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</si>
  <si>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</si>
  <si>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</si>
  <si>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</si>
  <si>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</si>
  <si>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</si>
  <si>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</si>
  <si>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</si>
  <si>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</si>
  <si>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</si>
  <si>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</si>
  <si>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</si>
  <si>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</si>
  <si>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</si>
  <si>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</si>
  <si>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</si>
  <si>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</si>
  <si>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</si>
  <si>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</si>
  <si>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</si>
  <si>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</si>
  <si>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</si>
  <si>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</si>
  <si>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</si>
  <si>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</si>
  <si>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</si>
  <si>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</si>
  <si>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</si>
  <si>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</si>
  <si>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</si>
  <si>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</si>
  <si>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</si>
  <si>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</si>
  <si>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</si>
  <si>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</si>
  <si>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</si>
  <si>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</si>
  <si>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</si>
  <si>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</si>
  <si>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</si>
  <si>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</si>
  <si>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</si>
  <si>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</si>
  <si>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</si>
  <si>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</si>
  <si>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</si>
  <si>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</si>
  <si>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</si>
  <si>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</si>
  <si>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</si>
  <si>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</si>
  <si>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</si>
  <si>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</si>
  <si>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</si>
  <si>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</si>
  <si>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</si>
  <si>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</si>
  <si>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</si>
  <si>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</si>
  <si>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</si>
  <si>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</si>
  <si>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</si>
  <si>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</si>
  <si>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</si>
  <si>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</si>
  <si>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</si>
  <si>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</si>
  <si>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</si>
  <si>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</si>
  <si>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</si>
  <si>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</si>
  <si>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</si>
  <si>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</si>
  <si>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</si>
  <si>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</si>
  <si>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</si>
  <si>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</si>
  <si>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</si>
  <si>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</si>
  <si>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</si>
  <si>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</si>
  <si>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</si>
  <si>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</si>
  <si>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</si>
  <si>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</si>
  <si>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</si>
  <si>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</si>
  <si>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</si>
  <si>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</si>
  <si>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</si>
  <si>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</si>
  <si>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</si>
  <si>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</si>
  <si>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</si>
  <si>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</si>
  <si>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</si>
  <si>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</si>
  <si>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</si>
  <si>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</si>
  <si>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</si>
  <si>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</si>
  <si>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</si>
  <si>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</si>
  <si>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</si>
  <si>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</si>
  <si>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</si>
  <si>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</si>
  <si>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</si>
  <si>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</si>
  <si>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</si>
  <si>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</si>
  <si>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</si>
  <si>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</si>
  <si>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</si>
  <si>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</si>
  <si>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</si>
  <si>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</si>
  <si>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</si>
  <si>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</si>
  <si>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</si>
  <si>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</si>
  <si>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</si>
  <si>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</si>
  <si>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</si>
  <si>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</si>
  <si>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</si>
  <si>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</si>
  <si>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</si>
  <si>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</si>
  <si>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</si>
  <si>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</si>
  <si>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</si>
  <si>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</si>
  <si>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</si>
  <si>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</si>
  <si>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</si>
  <si>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</si>
  <si>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</si>
  <si>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</si>
  <si>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</si>
  <si>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</si>
  <si>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</si>
  <si>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</si>
  <si>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</si>
  <si>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</si>
  <si>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</si>
  <si>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</si>
  <si>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</si>
  <si>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</si>
  <si>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</si>
  <si>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</si>
  <si>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</si>
  <si>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</si>
  <si>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</si>
  <si>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</si>
  <si>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</si>
  <si>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</si>
  <si>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</si>
  <si>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</si>
  <si>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</si>
  <si>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</si>
  <si>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</si>
  <si>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</si>
  <si>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</si>
  <si>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</si>
  <si>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</si>
  <si>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</si>
  <si>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</si>
  <si>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</si>
  <si>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</si>
  <si>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</si>
  <si>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</si>
  <si>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</si>
  <si>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</si>
  <si>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</si>
  <si>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</si>
  <si>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</si>
  <si>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</si>
  <si>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</si>
  <si>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</si>
  <si>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</si>
  <si>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</si>
  <si>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</si>
  <si>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</si>
  <si>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</si>
  <si>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</si>
  <si>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</si>
  <si>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</si>
  <si>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</si>
  <si>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</si>
  <si>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</si>
  <si>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</si>
  <si>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</si>
  <si>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</si>
  <si>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</si>
  <si>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</si>
  <si>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</si>
  <si>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</si>
  <si>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</si>
  <si>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</si>
  <si>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</si>
  <si>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</si>
  <si>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</si>
  <si>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</si>
  <si>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</si>
  <si>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</si>
  <si>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</si>
  <si>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</si>
  <si>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</si>
  <si>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</si>
  <si>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</si>
  <si>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</si>
  <si>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</si>
  <si>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</si>
  <si>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</si>
  <si>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</si>
  <si>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</si>
  <si>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</si>
  <si>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</si>
  <si>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</si>
  <si>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</si>
  <si>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</si>
  <si>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</si>
  <si>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</si>
  <si>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</si>
  <si>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</si>
  <si>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</si>
  <si>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</si>
  <si>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</si>
  <si>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</si>
  <si>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</si>
  <si>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</si>
  <si>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</si>
  <si>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</si>
  <si>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</si>
  <si>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</si>
  <si>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</si>
  <si>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</si>
  <si>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</si>
  <si>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</si>
  <si>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</si>
  <si>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</si>
  <si>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</si>
  <si>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</si>
  <si>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</si>
  <si>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</si>
  <si>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</si>
  <si>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</si>
  <si>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</si>
  <si>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</si>
  <si>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</si>
  <si>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</si>
  <si>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</si>
  <si>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</si>
  <si>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</si>
  <si>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</si>
  <si>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</si>
  <si>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</si>
  <si>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</si>
  <si>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</si>
  <si>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</si>
  <si>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</si>
  <si>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</si>
  <si>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</si>
  <si>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</si>
  <si>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</si>
  <si>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</si>
  <si>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</si>
  <si>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</si>
  <si>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</si>
  <si>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</si>
  <si>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</si>
  <si>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</si>
  <si>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</si>
  <si>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</si>
  <si>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</si>
  <si>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</si>
  <si>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</si>
  <si>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</si>
  <si>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</si>
  <si>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</si>
  <si>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</si>
  <si>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</si>
  <si>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</si>
  <si>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</si>
  <si>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</si>
  <si>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</si>
  <si>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</si>
  <si>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</si>
  <si>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</si>
  <si>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</si>
  <si>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</si>
  <si>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</si>
  <si>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</si>
  <si>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</si>
  <si>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</si>
  <si>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</si>
  <si>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</si>
  <si>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</si>
  <si>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</si>
  <si>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</si>
  <si>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</si>
  <si>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</si>
  <si>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</si>
  <si>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</si>
  <si>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</si>
  <si>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</si>
  <si>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</si>
  <si>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</si>
  <si>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</si>
  <si>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</si>
  <si>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</si>
  <si>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</si>
  <si>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</si>
  <si>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</si>
  <si>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</si>
  <si>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</si>
  <si>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</si>
  <si>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</si>
  <si>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</si>
  <si>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</si>
  <si>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</si>
  <si>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</si>
  <si>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</si>
  <si>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</si>
  <si>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</si>
  <si>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</si>
  <si>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</si>
  <si>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</si>
  <si>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</si>
  <si>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</si>
  <si>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</si>
  <si>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</si>
  <si>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</si>
  <si>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</si>
  <si>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</si>
  <si>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</si>
  <si>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</si>
  <si>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</si>
  <si>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</si>
  <si>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</si>
  <si>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</si>
  <si>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</si>
  <si>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</si>
  <si>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</si>
  <si>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</si>
  <si>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</si>
  <si>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</si>
  <si>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</si>
  <si>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</si>
  <si>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</si>
  <si>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</si>
  <si>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</si>
  <si>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</si>
  <si>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</si>
  <si>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</si>
  <si>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</si>
  <si>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</si>
  <si>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</si>
  <si>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</si>
  <si>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</si>
  <si>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</si>
  <si>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</si>
  <si>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</si>
  <si>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</si>
  <si>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</si>
  <si>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</si>
  <si>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</si>
  <si>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</si>
  <si>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</si>
  <si>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</si>
  <si>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</si>
  <si>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</si>
  <si>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</si>
  <si>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</si>
  <si>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</si>
  <si>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</si>
  <si>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</si>
  <si>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</si>
  <si>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</si>
  <si>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</si>
  <si>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</si>
  <si>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</si>
  <si>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</si>
  <si>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</si>
  <si>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</si>
  <si>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</si>
  <si>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</si>
  <si>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</si>
  <si>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</si>
  <si>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</si>
  <si>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</si>
  <si>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</si>
  <si>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</si>
  <si>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</si>
  <si>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</si>
  <si>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</si>
  <si>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</si>
  <si>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</si>
  <si>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</si>
  <si>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</si>
  <si>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</si>
  <si>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</si>
  <si>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</si>
  <si>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</si>
  <si>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</si>
  <si>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</si>
  <si>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</si>
  <si>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</si>
  <si>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</si>
  <si>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</si>
  <si>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</si>
  <si>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</si>
  <si>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</si>
  <si>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</si>
  <si>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</si>
  <si>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</si>
  <si>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</si>
  <si>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</si>
  <si>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</si>
  <si>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</si>
  <si>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</si>
  <si>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</si>
  <si>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</si>
  <si>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</si>
  <si>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</si>
  <si>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</si>
  <si>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</si>
  <si>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</si>
  <si>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</si>
  <si>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</si>
  <si>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</si>
  <si>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</si>
  <si>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</si>
  <si>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</si>
  <si>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</si>
  <si>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</si>
  <si>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</si>
  <si>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</si>
  <si>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</si>
  <si>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</si>
  <si>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</si>
  <si>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</si>
  <si>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</si>
  <si>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</si>
  <si>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</si>
  <si>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</si>
  <si>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</si>
  <si>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</si>
  <si>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</si>
  <si>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</si>
  <si>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</si>
  <si>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</si>
  <si>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</si>
  <si>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</si>
  <si>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</si>
  <si>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</si>
  <si>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</si>
  <si>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</si>
  <si>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</si>
  <si>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</si>
  <si>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</si>
  <si>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</si>
  <si>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</si>
  <si>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</si>
  <si>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</si>
  <si>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</si>
  <si>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</si>
  <si>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</si>
  <si>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</si>
  <si>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</si>
  <si>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</si>
  <si>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</si>
  <si>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</si>
  <si>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</si>
  <si>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</si>
  <si>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</si>
  <si>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</si>
  <si>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</si>
  <si>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</si>
  <si>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</si>
  <si>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</si>
  <si>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</si>
  <si>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</si>
  <si>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</si>
  <si>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</si>
  <si>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</si>
  <si>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</si>
  <si>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</si>
  <si>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</si>
  <si>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</si>
  <si>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</si>
  <si>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</si>
  <si>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</si>
  <si>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</si>
  <si>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</si>
  <si>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</si>
  <si>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</si>
  <si>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</si>
  <si>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</si>
  <si>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</si>
  <si>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</si>
  <si>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</si>
  <si>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</si>
  <si>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</si>
  <si>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</si>
  <si>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</si>
  <si>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</si>
  <si>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</si>
  <si>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</si>
  <si>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</si>
  <si>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</si>
  <si>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</si>
  <si>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</si>
  <si>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</si>
  <si>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</si>
  <si>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</si>
  <si>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</si>
  <si>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</si>
  <si>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</si>
  <si>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</si>
  <si>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</si>
  <si>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</si>
  <si>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</si>
  <si>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</si>
  <si>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</si>
  <si>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</si>
  <si>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</si>
  <si>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</si>
  <si>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</si>
  <si>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</si>
  <si>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</si>
  <si>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</si>
  <si>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</si>
  <si>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</si>
  <si>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</si>
  <si>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</si>
  <si>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</si>
  <si>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</si>
  <si>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</si>
  <si>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</si>
  <si>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</si>
  <si>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</si>
  <si>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</si>
  <si>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</si>
  <si>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</si>
  <si>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</si>
  <si>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</si>
  <si>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</si>
  <si>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</si>
  <si>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</si>
  <si>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</si>
  <si>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</si>
  <si>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</si>
  <si>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</si>
  <si>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</si>
  <si>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</si>
  <si>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</si>
  <si>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</si>
  <si>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</si>
  <si>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</si>
  <si>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</si>
  <si>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</si>
  <si>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</si>
  <si>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</si>
  <si>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</si>
  <si>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</si>
  <si>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</si>
  <si>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</si>
  <si>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</si>
  <si>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</si>
  <si>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</si>
  <si>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</si>
  <si>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</si>
  <si>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</si>
  <si>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</si>
  <si>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</si>
  <si>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</si>
  <si>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</si>
  <si>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</si>
  <si>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</si>
  <si>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</si>
  <si>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</si>
  <si>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</si>
  <si>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</si>
  <si>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</si>
  <si>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</si>
  <si>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</si>
  <si>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</si>
  <si>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</si>
  <si>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</si>
  <si>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</si>
  <si>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</si>
  <si>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</si>
  <si>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</si>
  <si>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</si>
  <si>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</si>
  <si>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</si>
  <si>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</si>
  <si>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</si>
  <si>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</si>
  <si>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</si>
  <si>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</si>
  <si>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</si>
  <si>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</si>
  <si>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</si>
  <si>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</si>
  <si>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</si>
  <si>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</si>
  <si>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</si>
  <si>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</si>
  <si>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</si>
  <si>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</si>
  <si>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</si>
  <si>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</si>
  <si>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</si>
  <si>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</si>
  <si>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</si>
  <si>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</si>
  <si>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</si>
  <si>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</si>
  <si>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</si>
  <si>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</si>
  <si>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</si>
  <si>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</si>
  <si>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</si>
  <si>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</si>
  <si>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</si>
  <si>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</si>
  <si>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</si>
  <si>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</si>
  <si>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</si>
  <si>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</si>
  <si>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</si>
  <si>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</si>
  <si>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</si>
  <si>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</si>
  <si>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</si>
  <si>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</si>
  <si>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</si>
  <si>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</si>
  <si>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</si>
  <si>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</si>
  <si>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</si>
  <si>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</si>
  <si>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</si>
  <si>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</si>
  <si>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</si>
  <si>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</si>
  <si>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</si>
  <si>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</si>
  <si>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</si>
  <si>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</si>
  <si>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</si>
  <si>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</si>
  <si>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</si>
  <si>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</si>
  <si>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</si>
  <si>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</si>
  <si>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</si>
  <si>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</si>
  <si>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</si>
  <si>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</si>
  <si>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</si>
  <si>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</si>
  <si>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</si>
  <si>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</si>
  <si>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</si>
  <si>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</si>
  <si>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</si>
  <si>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</si>
  <si>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</si>
  <si>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</si>
  <si>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</si>
  <si>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</si>
  <si>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</si>
  <si>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</si>
  <si>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</si>
  <si>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</si>
  <si>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</si>
  <si>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</si>
  <si>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</si>
  <si>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</si>
  <si>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</si>
  <si>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</si>
  <si>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</si>
  <si>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</si>
  <si>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</si>
  <si>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</si>
  <si>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</si>
  <si>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</si>
  <si>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</si>
  <si>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</si>
  <si>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</si>
  <si>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</si>
  <si>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</si>
  <si>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</si>
  <si>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</si>
  <si>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</si>
  <si>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</si>
  <si>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</si>
  <si>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</si>
  <si>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</si>
  <si>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</si>
  <si>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</si>
  <si>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</si>
  <si>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</si>
  <si>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</si>
  <si>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</si>
  <si>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</si>
  <si>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</si>
  <si>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</si>
  <si>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</si>
  <si>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</si>
  <si>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</si>
  <si>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</si>
  <si>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</si>
  <si>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</si>
  <si>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</si>
  <si>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</si>
  <si>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</si>
  <si>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</si>
  <si>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</si>
  <si>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</si>
  <si>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</si>
  <si>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</si>
  <si>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</si>
  <si>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</si>
  <si>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</si>
  <si>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</si>
  <si>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</si>
  <si>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</si>
  <si>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</si>
  <si>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</si>
  <si>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</si>
  <si>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</si>
  <si>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</si>
  <si>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</si>
  <si>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</si>
  <si>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</si>
  <si>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</si>
  <si>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</si>
  <si>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</si>
  <si>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</si>
  <si>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</si>
  <si>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</si>
  <si>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</si>
  <si>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</si>
  <si>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</si>
  <si>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</si>
  <si>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</si>
  <si>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</si>
  <si>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</si>
  <si>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</si>
  <si>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</si>
  <si>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</si>
  <si>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</si>
  <si>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</si>
  <si>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</si>
  <si>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</si>
  <si>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</si>
  <si>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</si>
  <si>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</si>
  <si>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</si>
  <si>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</si>
  <si>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</si>
  <si>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</si>
  <si>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</si>
  <si>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</si>
  <si>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</si>
  <si>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</si>
  <si>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</si>
  <si>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</si>
  <si>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</si>
  <si>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</si>
  <si>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</si>
  <si>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</si>
  <si>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</si>
  <si>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</si>
  <si>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</si>
  <si>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</si>
  <si>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</si>
  <si>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</si>
  <si>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</si>
  <si>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</si>
  <si>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</si>
  <si>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</si>
  <si>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</si>
  <si>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</si>
  <si>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</si>
  <si>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</si>
  <si>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</si>
  <si>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</si>
  <si>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</si>
  <si>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</si>
  <si>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</si>
  <si>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</si>
  <si>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</si>
  <si>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</si>
  <si>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</si>
  <si>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</si>
  <si>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</si>
  <si>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</si>
  <si>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</si>
  <si>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</si>
  <si>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</si>
  <si>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</si>
  <si>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</si>
  <si>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</si>
  <si>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</si>
  <si>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</si>
  <si>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</si>
  <si>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</si>
  <si>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</si>
  <si>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</si>
  <si>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</si>
  <si>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</si>
  <si>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</si>
  <si>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</si>
  <si>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</si>
  <si>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</si>
  <si>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</si>
  <si>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</si>
  <si>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</si>
  <si>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</si>
  <si>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</si>
  <si>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</si>
  <si>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</si>
  <si>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</si>
  <si>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</si>
  <si>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</si>
  <si>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</si>
  <si>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</si>
  <si>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</si>
  <si>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</si>
  <si>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</si>
  <si>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</si>
  <si>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</si>
  <si>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</si>
  <si>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</si>
  <si>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</si>
  <si>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</si>
  <si>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</si>
  <si>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</si>
  <si>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</si>
  <si>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</si>
  <si>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</si>
  <si>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</si>
  <si>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</si>
  <si>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</si>
  <si>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</si>
  <si>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</si>
  <si>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</si>
  <si>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</si>
  <si>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</si>
  <si>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</si>
  <si>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</si>
  <si>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</si>
  <si>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</si>
  <si>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</si>
  <si>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</si>
  <si>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</si>
  <si>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</si>
  <si>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</si>
  <si>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</si>
  <si>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</si>
  <si>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</si>
  <si>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</si>
  <si>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</si>
  <si>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</si>
  <si>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</si>
  <si>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</si>
  <si>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</si>
  <si>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</si>
  <si>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</si>
  <si>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</si>
  <si>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</si>
  <si>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</si>
  <si>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</si>
  <si>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</si>
  <si>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</si>
  <si>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</si>
  <si>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</si>
  <si>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</si>
  <si>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</si>
  <si>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</si>
  <si>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</si>
  <si>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</si>
  <si>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</si>
  <si>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</si>
  <si>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</si>
  <si>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</si>
  <si>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</si>
  <si>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</si>
  <si>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</si>
  <si>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</si>
  <si>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</si>
  <si>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</si>
  <si>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</si>
  <si>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</si>
  <si>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</si>
  <si>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</si>
  <si>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</si>
  <si>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</si>
  <si>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</si>
  <si>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</si>
  <si>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</si>
  <si>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</si>
  <si>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</si>
  <si>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</si>
  <si>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</si>
  <si>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</si>
  <si>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</si>
  <si>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</si>
  <si>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</si>
  <si>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</si>
  <si>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</si>
  <si>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</si>
  <si>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</si>
  <si>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</si>
  <si>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</si>
  <si>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</si>
  <si>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</si>
  <si>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</si>
  <si>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</si>
  <si>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</si>
  <si>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</si>
  <si>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</si>
  <si>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</si>
  <si>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</si>
  <si>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</si>
  <si>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</si>
  <si>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</si>
  <si>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</si>
  <si>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</si>
  <si>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</si>
  <si>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</si>
  <si>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</si>
  <si>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</si>
  <si>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</si>
  <si>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</si>
  <si>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</si>
  <si>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</si>
  <si>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</si>
  <si>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</si>
  <si>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</si>
  <si>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</si>
  <si>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</si>
  <si>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</si>
  <si>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</si>
  <si>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</si>
  <si>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</si>
  <si>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</si>
  <si>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</si>
  <si>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</si>
  <si>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</si>
  <si>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</si>
  <si>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</si>
  <si>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</si>
  <si>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</si>
  <si>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</si>
  <si>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</si>
  <si>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</si>
  <si>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</si>
  <si>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</si>
  <si>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</si>
  <si>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</si>
  <si>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</si>
  <si>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</si>
  <si>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</si>
  <si>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</si>
  <si>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</si>
  <si>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</si>
  <si>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</si>
  <si>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</si>
  <si>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</si>
  <si>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</si>
  <si>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</si>
  <si>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</si>
  <si>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</si>
  <si>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</si>
  <si>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</si>
  <si>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</si>
  <si>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</si>
  <si>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</si>
  <si>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</si>
  <si>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</si>
  <si>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</si>
  <si>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</si>
  <si>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</si>
  <si>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</si>
  <si>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</si>
  <si>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</si>
  <si>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</si>
  <si>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</si>
  <si>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</si>
  <si>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</si>
  <si>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</si>
  <si>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</si>
  <si>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</si>
  <si>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</si>
  <si>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</si>
  <si>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</si>
  <si>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</si>
  <si>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</si>
  <si>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</si>
  <si>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</si>
  <si>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</si>
  <si>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</si>
  <si>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</si>
  <si>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</si>
  <si>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</si>
  <si>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</si>
  <si>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</si>
  <si>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</si>
  <si>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</si>
  <si>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</si>
  <si>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</si>
  <si>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</si>
  <si>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</si>
  <si>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</si>
  <si>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</si>
  <si>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</si>
  <si>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</si>
  <si>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</si>
  <si>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</si>
  <si>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</si>
  <si>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</si>
  <si>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</si>
  <si>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</si>
  <si>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</si>
  <si>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</si>
  <si>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</si>
  <si>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</si>
  <si>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</si>
  <si>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</si>
  <si>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</si>
  <si>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</si>
  <si>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</si>
  <si>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</si>
  <si>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</si>
  <si>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</si>
  <si>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</si>
  <si>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</si>
  <si>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</si>
  <si>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</si>
  <si>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</si>
  <si>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</si>
  <si>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</si>
  <si>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</si>
  <si>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</si>
  <si>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</si>
  <si>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</si>
  <si>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</si>
  <si>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</si>
  <si>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</si>
  <si>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</si>
  <si>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</si>
  <si>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</si>
  <si>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</si>
  <si>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</si>
  <si>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</si>
  <si>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</si>
  <si>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</si>
  <si>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</si>
  <si>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</si>
  <si>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</si>
  <si>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</si>
  <si>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</si>
  <si>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</si>
  <si>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</si>
  <si>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</si>
  <si>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</si>
  <si>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</si>
  <si>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</si>
  <si>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</si>
  <si>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</si>
  <si>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</si>
  <si>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</si>
  <si>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</si>
  <si>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</si>
  <si>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</si>
  <si>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</si>
  <si>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</si>
  <si>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</si>
  <si>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</si>
  <si>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</si>
  <si>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</si>
  <si>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</si>
  <si>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</si>
  <si>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</si>
  <si>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</si>
  <si>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</si>
  <si>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</si>
  <si>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</si>
  <si>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</si>
  <si>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</si>
  <si>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</si>
  <si>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</si>
  <si>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</si>
  <si>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</si>
  <si>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</si>
  <si>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</si>
  <si>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</si>
  <si>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</si>
  <si>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</si>
  <si>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</si>
  <si>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</si>
  <si>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</si>
  <si>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</si>
  <si>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</si>
  <si>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</si>
  <si>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</si>
  <si>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</si>
  <si>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</si>
  <si>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</si>
  <si>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</si>
  <si>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</si>
  <si>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</si>
  <si>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</si>
  <si>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</si>
  <si>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</si>
  <si>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</si>
  <si>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</si>
  <si>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</si>
  <si>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</si>
  <si>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</si>
  <si>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</si>
  <si>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</si>
  <si>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</si>
  <si>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</si>
  <si>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</si>
  <si>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</si>
  <si>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</si>
  <si>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</si>
  <si>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</si>
  <si>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</si>
  <si>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</si>
  <si>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</si>
  <si>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</si>
  <si>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</si>
  <si>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</si>
  <si>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</si>
  <si>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</si>
  <si>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</si>
  <si>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</si>
  <si>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</si>
  <si>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</si>
  <si>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</si>
  <si>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</si>
  <si>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</si>
  <si>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</si>
  <si>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</si>
  <si>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</si>
  <si>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</si>
  <si>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</si>
  <si>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</si>
  <si>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</si>
  <si>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</si>
  <si>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</si>
  <si>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</si>
  <si>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</si>
  <si>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</si>
  <si>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</si>
  <si>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</si>
  <si>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</si>
  <si>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</si>
  <si>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</si>
  <si>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</si>
  <si>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</si>
  <si>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</si>
  <si>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</si>
  <si>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</si>
  <si>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</si>
  <si>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</si>
  <si>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</si>
  <si>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</si>
  <si>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</si>
  <si>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</si>
  <si>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</si>
  <si>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</si>
  <si>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</si>
  <si>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</si>
  <si>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</si>
  <si>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</si>
  <si>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</si>
  <si>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</si>
  <si>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</si>
  <si>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</si>
  <si>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</si>
  <si>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</si>
  <si>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</si>
  <si>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</si>
  <si>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</si>
  <si>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</si>
  <si>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</si>
  <si>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</si>
  <si>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</si>
  <si>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</si>
  <si>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</si>
  <si>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</si>
  <si>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</si>
  <si>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</si>
  <si>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</si>
  <si>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</si>
  <si>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</si>
  <si>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</si>
  <si>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</si>
  <si>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</si>
  <si>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</si>
  <si>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</si>
  <si>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</si>
  <si>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</si>
  <si>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</si>
  <si>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</si>
  <si>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</si>
  <si>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</si>
  <si>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</si>
  <si>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</si>
  <si>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</si>
  <si>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</si>
  <si>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</si>
  <si>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</si>
  <si>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</si>
  <si>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</si>
  <si>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</si>
  <si>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</si>
  <si>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</si>
  <si>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</si>
  <si>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</si>
  <si>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</si>
  <si>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</si>
  <si>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</si>
  <si>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</si>
  <si>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</si>
  <si>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</si>
  <si>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</si>
  <si>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</si>
  <si>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</si>
  <si>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</si>
  <si>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</si>
  <si>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</si>
  <si>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</si>
  <si>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</si>
  <si>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</si>
  <si>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</si>
  <si>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</si>
  <si>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</si>
  <si>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</si>
  <si>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</si>
  <si>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</si>
  <si>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</si>
  <si>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</si>
  <si>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</si>
  <si>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</si>
  <si>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</si>
  <si>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</si>
  <si>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</si>
  <si>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</si>
  <si>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</si>
  <si>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</si>
  <si>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</si>
  <si>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</si>
  <si>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</si>
  <si>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</si>
  <si>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</si>
  <si>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</si>
  <si>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</si>
  <si>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</si>
  <si>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</si>
  <si>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</si>
  <si>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</si>
  <si>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</si>
  <si>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</si>
  <si>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</si>
  <si>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</si>
  <si>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</si>
  <si>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</si>
  <si>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</si>
  <si>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</si>
  <si>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</si>
  <si>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</si>
  <si>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</si>
  <si>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</si>
  <si>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</si>
  <si>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</si>
  <si>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</si>
  <si>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</si>
  <si>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</si>
  <si>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</si>
  <si>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</si>
  <si>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</si>
  <si>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</si>
  <si>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</si>
  <si>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</si>
  <si>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</si>
  <si>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</si>
  <si>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</si>
  <si>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</si>
  <si>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</si>
  <si>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</si>
  <si>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</si>
  <si>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</si>
  <si>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</si>
  <si>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</si>
  <si>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</si>
  <si>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</si>
  <si>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</si>
  <si>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</si>
  <si>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</si>
  <si>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</si>
  <si>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</si>
  <si>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</si>
  <si>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</si>
  <si>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</si>
  <si>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</si>
  <si>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</si>
  <si>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</si>
  <si>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</si>
  <si>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</si>
  <si>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</si>
  <si>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</si>
  <si>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</si>
  <si>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</si>
  <si>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</si>
  <si>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</si>
  <si>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</si>
  <si>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</si>
  <si>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</si>
  <si>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</si>
  <si>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</si>
  <si>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</si>
  <si>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</si>
  <si>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</si>
  <si>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</si>
  <si>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</si>
  <si>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</si>
  <si>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</si>
  <si>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</si>
  <si>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</si>
  <si>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</si>
  <si>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</si>
  <si>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</si>
  <si>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</si>
  <si>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</si>
  <si>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</si>
  <si>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</si>
  <si>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</si>
  <si>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</si>
  <si>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</si>
  <si>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</si>
  <si>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</si>
  <si>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</si>
  <si>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</si>
  <si>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</si>
  <si>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</si>
  <si>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</si>
  <si>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</si>
  <si>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</si>
  <si>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</si>
  <si>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</si>
  <si>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</si>
  <si>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</si>
  <si>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</si>
  <si>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</si>
  <si>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</si>
  <si>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</si>
  <si>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</si>
  <si>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</si>
  <si>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</si>
  <si>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</si>
  <si>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</si>
  <si>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</si>
  <si>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</si>
  <si>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</si>
  <si>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</si>
  <si>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</si>
  <si>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</si>
  <si>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</si>
  <si>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</si>
  <si>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</si>
  <si>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</si>
  <si>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</si>
  <si>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</si>
  <si>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</si>
  <si>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</si>
  <si>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</si>
  <si>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</si>
  <si>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</si>
  <si>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</si>
  <si>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</si>
  <si>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</si>
  <si>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</si>
  <si>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</si>
  <si>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</si>
  <si>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</si>
  <si>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</si>
  <si>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</si>
  <si>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</si>
  <si>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</si>
  <si>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</si>
  <si>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</si>
  <si>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</si>
  <si>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</si>
  <si>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</si>
  <si>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</si>
  <si>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</si>
  <si>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</si>
  <si>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</si>
  <si>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</si>
  <si>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</si>
  <si>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</si>
  <si>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</si>
  <si>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</si>
  <si>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</si>
  <si>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</si>
  <si>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</si>
  <si>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</si>
  <si>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</si>
  <si>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</si>
  <si>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</si>
  <si>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</si>
  <si>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</si>
  <si>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</si>
  <si>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</si>
  <si>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</si>
  <si>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</si>
  <si>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</si>
  <si>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</si>
  <si>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</si>
  <si>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</si>
  <si>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</si>
  <si>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</si>
  <si>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</si>
  <si>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</si>
  <si>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</si>
  <si>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</si>
  <si>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</si>
  <si>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</si>
  <si>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</si>
  <si>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</si>
  <si>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</si>
  <si>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</si>
  <si>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</si>
  <si>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</si>
  <si>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</si>
  <si>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</si>
  <si>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</si>
  <si>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</si>
  <si>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</si>
  <si>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</si>
  <si>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</si>
  <si>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</si>
  <si>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</si>
  <si>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</si>
  <si>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</si>
  <si>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</si>
  <si>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</si>
  <si>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</si>
  <si>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</si>
  <si>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</si>
  <si>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</si>
  <si>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</si>
  <si>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</si>
  <si>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</si>
  <si>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</si>
  <si>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</si>
  <si>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</si>
  <si>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</si>
  <si>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</si>
  <si>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</si>
  <si>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</si>
  <si>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</si>
  <si>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</si>
  <si>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</si>
  <si>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</si>
  <si>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</si>
  <si>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</si>
  <si>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</si>
  <si>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</si>
  <si>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</si>
  <si>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</si>
  <si>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</si>
  <si>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</si>
  <si>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</si>
  <si>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</si>
  <si>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</si>
  <si>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</si>
  <si>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</si>
  <si>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</si>
  <si>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</si>
  <si>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</si>
  <si>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</si>
  <si>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</si>
  <si>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</si>
  <si>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</si>
  <si>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</si>
  <si>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</si>
  <si>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</si>
  <si>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</si>
  <si>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</si>
  <si>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</si>
  <si>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</si>
  <si>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</si>
  <si>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</si>
  <si>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</si>
  <si>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</si>
  <si>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</si>
  <si>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</si>
  <si>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</si>
  <si>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</si>
  <si>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</si>
  <si>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</si>
  <si>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</si>
  <si>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</si>
  <si>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</si>
  <si>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</si>
  <si>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</si>
  <si>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</si>
  <si>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</si>
  <si>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</si>
  <si>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</si>
  <si>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</si>
  <si>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</si>
  <si>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</si>
  <si>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</si>
  <si>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</si>
  <si>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</si>
  <si>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</si>
  <si>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</si>
  <si>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</si>
  <si>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</si>
  <si>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</si>
  <si>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</si>
  <si>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</si>
  <si>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</si>
  <si>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</si>
  <si>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</si>
  <si>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</si>
  <si>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</si>
  <si>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</si>
  <si>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</si>
  <si>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</si>
  <si>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</si>
  <si>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</si>
  <si>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</si>
  <si>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</si>
  <si>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</si>
  <si>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</si>
  <si>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</si>
  <si>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</si>
  <si>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</si>
  <si>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</si>
  <si>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</si>
  <si>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</si>
  <si>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</si>
  <si>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</si>
  <si>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</si>
  <si>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</si>
  <si>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</si>
  <si>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</si>
  <si>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</si>
  <si>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</si>
  <si>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</si>
  <si>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</si>
  <si>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</si>
  <si>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</si>
  <si>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</si>
  <si>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</si>
  <si>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</si>
  <si>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</si>
  <si>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</si>
  <si>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</si>
  <si>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</si>
  <si>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</si>
  <si>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</si>
  <si>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</si>
  <si>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</si>
  <si>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</si>
  <si>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</si>
  <si>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</si>
  <si>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</si>
  <si>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</si>
  <si>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</si>
  <si>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</si>
  <si>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</si>
  <si>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</si>
  <si>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</si>
  <si>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</si>
  <si>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</si>
  <si>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</si>
  <si>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</si>
  <si>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</si>
  <si>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</si>
  <si>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</si>
  <si>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</si>
  <si>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</si>
  <si>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</si>
  <si>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</si>
  <si>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</si>
  <si>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</si>
  <si>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</si>
  <si>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</si>
  <si>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</si>
  <si>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</si>
  <si>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</si>
  <si>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</si>
  <si>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</si>
  <si>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</si>
  <si>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</si>
  <si>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</si>
  <si>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</si>
  <si>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</si>
  <si>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</si>
  <si>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</si>
  <si>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</si>
  <si>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</si>
  <si>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</si>
  <si>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</si>
  <si>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</si>
  <si>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</si>
  <si>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</si>
  <si>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</si>
  <si>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</si>
  <si>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</si>
  <si>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</si>
  <si>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</si>
  <si>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</si>
  <si>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</si>
  <si>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</si>
  <si>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</si>
  <si>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</si>
  <si>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</si>
  <si>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</si>
  <si>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</si>
  <si>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</si>
  <si>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</si>
  <si>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</si>
  <si>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</si>
  <si>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</si>
  <si>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</si>
  <si>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</si>
  <si>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</si>
  <si>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</si>
  <si>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</si>
  <si>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</si>
  <si>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</si>
  <si>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</si>
  <si>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</si>
  <si>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</si>
  <si>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</si>
  <si>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</si>
  <si>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</si>
  <si>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</si>
  <si>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</si>
  <si>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</si>
  <si>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</si>
  <si>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</si>
  <si>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</si>
  <si>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</si>
  <si>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</si>
  <si>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</si>
  <si>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</si>
  <si>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</si>
  <si>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</si>
  <si>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</si>
  <si>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</si>
  <si>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</si>
  <si>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</si>
  <si>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</si>
  <si>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</si>
  <si>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</si>
  <si>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</si>
  <si>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</si>
  <si>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</si>
  <si>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</si>
  <si>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</si>
  <si>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</si>
  <si>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</si>
  <si>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</si>
  <si>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</si>
  <si>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</si>
  <si>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</si>
  <si>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</si>
  <si>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</si>
  <si>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</si>
  <si>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</si>
  <si>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</si>
  <si>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</si>
  <si>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</si>
  <si>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</si>
  <si>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</si>
  <si>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</si>
  <si>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</si>
  <si>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</si>
  <si>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</si>
  <si>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</si>
  <si>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</si>
  <si>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</si>
  <si>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</si>
  <si>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</si>
  <si>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</si>
  <si>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</si>
  <si>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</si>
  <si>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</si>
  <si>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</si>
  <si>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</si>
  <si>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</si>
  <si>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</si>
  <si>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</si>
  <si>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</si>
  <si>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</si>
  <si>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</si>
  <si>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</si>
  <si>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</si>
  <si>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</si>
  <si>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</si>
  <si>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</si>
  <si>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</si>
  <si>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</si>
  <si>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</si>
  <si>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</si>
  <si>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</si>
  <si>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</si>
  <si>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</si>
  <si>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</si>
  <si>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</si>
  <si>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</si>
  <si>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</si>
  <si>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</si>
  <si>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</si>
  <si>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</si>
  <si>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</si>
  <si>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</si>
  <si>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</si>
  <si>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</si>
  <si>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</si>
  <si>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</si>
  <si>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</si>
  <si>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</si>
  <si>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</si>
  <si>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</si>
  <si>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</si>
  <si>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</si>
  <si>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</si>
  <si>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</si>
  <si>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</si>
  <si>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</si>
  <si>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</si>
  <si>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</si>
  <si>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</si>
  <si>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</si>
  <si>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</si>
  <si>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</si>
  <si>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</si>
  <si>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</si>
  <si>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</si>
  <si>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</si>
  <si>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</si>
  <si>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</si>
  <si>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</si>
  <si>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</si>
  <si>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</si>
  <si>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</si>
  <si>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</si>
  <si>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</si>
  <si>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</si>
  <si>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</si>
  <si>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</si>
  <si>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</si>
  <si>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</si>
  <si>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</si>
  <si>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</si>
  <si>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</si>
  <si>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</si>
  <si>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</si>
  <si>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</si>
  <si>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</si>
  <si>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</si>
  <si>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</si>
  <si>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</si>
  <si>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</si>
  <si>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</si>
  <si>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</si>
  <si>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</si>
  <si>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</si>
  <si>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</si>
  <si>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</si>
  <si>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</si>
  <si>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</si>
  <si>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</si>
  <si>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</si>
  <si>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</si>
  <si>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</si>
  <si>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</si>
  <si>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</si>
  <si>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</si>
  <si>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</si>
  <si>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</si>
  <si>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</si>
  <si>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</si>
  <si>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</si>
  <si>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</si>
  <si>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</si>
  <si>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</si>
  <si>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</si>
  <si>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</si>
  <si>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</si>
  <si>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</si>
  <si>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</si>
  <si>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</si>
  <si>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</si>
  <si>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</si>
  <si>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</si>
  <si>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</si>
  <si>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</si>
  <si>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</si>
  <si>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</si>
  <si>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</si>
  <si>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</si>
  <si>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</si>
  <si>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</si>
  <si>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</si>
  <si>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</si>
  <si>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</si>
  <si>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</si>
  <si>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</si>
  <si>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</si>
  <si>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</si>
  <si>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</si>
  <si>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</si>
  <si>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</si>
  <si>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</si>
  <si>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</si>
  <si>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</si>
  <si>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</si>
  <si>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</si>
  <si>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</si>
  <si>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</si>
  <si>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</si>
  <si>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</si>
  <si>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</si>
  <si>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</si>
  <si>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</si>
  <si>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</si>
  <si>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</si>
  <si>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</si>
  <si>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</si>
  <si>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</si>
  <si>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</si>
  <si>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</si>
  <si>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</si>
  <si>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</si>
  <si>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</si>
  <si>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</si>
  <si>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</si>
  <si>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</si>
  <si>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</si>
  <si>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</si>
  <si>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</si>
  <si>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</si>
  <si>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</si>
  <si>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</si>
  <si>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</si>
  <si>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</si>
  <si>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</si>
  <si>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</si>
  <si>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</si>
  <si>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</si>
  <si>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</si>
  <si>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</si>
  <si>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</si>
  <si>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</si>
  <si>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</si>
  <si>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</si>
  <si>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</si>
  <si>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</si>
  <si>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</si>
  <si>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</si>
  <si>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</si>
  <si>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</si>
  <si>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</si>
  <si>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</si>
  <si>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</si>
  <si>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</si>
  <si>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</si>
  <si>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</si>
  <si>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</si>
  <si>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</si>
  <si>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</si>
  <si>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</si>
  <si>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</si>
  <si>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</si>
  <si>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</si>
  <si>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</si>
  <si>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</si>
  <si>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</si>
  <si>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</si>
  <si>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</si>
  <si>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</si>
  <si>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</si>
  <si>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</si>
  <si>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</si>
  <si>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</si>
  <si>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</si>
  <si>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</si>
  <si>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</si>
  <si>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</si>
  <si>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</si>
  <si>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</si>
  <si>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</si>
  <si>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</si>
  <si>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</si>
  <si>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</si>
  <si>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</si>
  <si>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</si>
  <si>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</si>
  <si>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</si>
  <si>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</si>
  <si>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</si>
  <si>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</si>
  <si>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</si>
  <si>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</si>
  <si>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</si>
  <si>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</si>
  <si>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</si>
  <si>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</si>
  <si>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</si>
  <si>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</si>
  <si>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</si>
  <si>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</si>
  <si>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</si>
  <si>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</si>
  <si>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</si>
  <si>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</si>
  <si>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</si>
  <si>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</si>
  <si>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</si>
  <si>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</si>
  <si>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</si>
  <si>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</si>
  <si>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</si>
  <si>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</si>
  <si>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</si>
  <si>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</si>
  <si>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</si>
  <si>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</si>
  <si>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</si>
  <si>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</si>
  <si>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</si>
  <si>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</si>
  <si>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</si>
  <si>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</si>
  <si>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</si>
  <si>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</si>
  <si>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</si>
  <si>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</si>
  <si>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</si>
  <si>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</si>
  <si>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</si>
  <si>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</si>
  <si>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</si>
  <si>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</si>
  <si>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</si>
  <si>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</si>
  <si>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</si>
  <si>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</si>
  <si>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</si>
  <si>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</si>
  <si>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</si>
  <si>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</si>
  <si>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</si>
  <si>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</si>
  <si>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</si>
  <si>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</si>
  <si>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</si>
  <si>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</si>
  <si>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</si>
  <si>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</si>
  <si>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</si>
  <si>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</si>
  <si>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</si>
  <si>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</si>
  <si>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</si>
  <si>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</si>
  <si>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</si>
  <si>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</si>
  <si>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</si>
  <si>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</si>
  <si>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</si>
  <si>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</si>
  <si>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</si>
  <si>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</si>
  <si>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</si>
  <si>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</si>
  <si>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</si>
  <si>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</si>
  <si>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</si>
  <si>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</si>
  <si>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</si>
  <si>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</si>
  <si>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</si>
  <si>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</si>
  <si>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</si>
  <si>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</si>
  <si>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</si>
  <si>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</si>
  <si>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</si>
  <si>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</si>
  <si>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</si>
  <si>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</si>
  <si>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</si>
  <si>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</si>
  <si>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</si>
  <si>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</si>
  <si>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</si>
  <si>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</si>
  <si>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</si>
  <si>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</si>
  <si>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</si>
  <si>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</si>
  <si>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</si>
  <si>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</si>
  <si>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</si>
  <si>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</si>
  <si>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</si>
  <si>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</si>
  <si>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</si>
  <si>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</si>
  <si>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</si>
  <si>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</si>
  <si>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</si>
  <si>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</si>
  <si>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</si>
  <si>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</si>
  <si>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</si>
  <si>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</si>
  <si>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</si>
  <si>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</si>
  <si>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</si>
  <si>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</si>
  <si>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</si>
  <si>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</si>
  <si>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</si>
  <si>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</si>
  <si>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</si>
  <si>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</si>
  <si>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</si>
  <si>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</si>
  <si>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</si>
  <si>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</si>
  <si>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</si>
  <si>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</si>
  <si>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</si>
  <si>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</si>
  <si>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</si>
  <si>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</si>
  <si>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</si>
  <si>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</si>
  <si>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</si>
  <si>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</si>
  <si>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</si>
  <si>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</si>
  <si>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</si>
  <si>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</si>
  <si>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</si>
  <si>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</si>
  <si>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</si>
  <si>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</si>
  <si>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</si>
  <si>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</si>
  <si>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</si>
  <si>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</si>
  <si>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</si>
  <si>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</si>
  <si>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</si>
  <si>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</si>
  <si>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</si>
  <si>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</si>
  <si>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</si>
  <si>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</si>
  <si>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</si>
  <si>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</si>
  <si>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</si>
  <si>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</si>
  <si>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</si>
  <si>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</si>
  <si>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</si>
  <si>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</si>
  <si>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</si>
  <si>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</si>
  <si>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</si>
  <si>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</si>
  <si>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</si>
  <si>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</si>
  <si>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</si>
  <si>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</si>
  <si>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</si>
  <si>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</si>
  <si>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</si>
  <si>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</si>
  <si>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</si>
  <si>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</si>
  <si>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</si>
  <si>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</si>
  <si>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</si>
  <si>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</si>
  <si>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</si>
  <si>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</si>
  <si>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</si>
  <si>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</si>
  <si>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</si>
  <si>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</si>
  <si>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</si>
  <si>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</si>
  <si>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</si>
  <si>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</si>
  <si>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</si>
  <si>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</si>
  <si>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</si>
  <si>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</si>
  <si>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</si>
  <si>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</si>
  <si>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</si>
  <si>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</si>
  <si>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</si>
  <si>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</si>
  <si>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</si>
  <si>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</si>
  <si>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</si>
  <si>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</si>
  <si>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</si>
  <si>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</si>
  <si>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</si>
  <si>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</si>
  <si>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</si>
  <si>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</si>
  <si>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</si>
  <si>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</si>
  <si>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</si>
  <si>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</si>
  <si>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</si>
  <si>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</si>
  <si>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</si>
  <si>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</si>
  <si>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</si>
  <si>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</si>
  <si>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</si>
  <si>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</si>
  <si>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</si>
  <si>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</si>
  <si>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</si>
  <si>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</si>
  <si>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</si>
  <si>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</si>
  <si>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</si>
  <si>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</si>
  <si>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</si>
  <si>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</si>
  <si>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</si>
  <si>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</si>
  <si>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</si>
  <si>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</si>
  <si>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</si>
  <si>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</si>
  <si>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</si>
  <si>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</si>
  <si>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</si>
  <si>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</si>
  <si>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</si>
  <si>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</si>
  <si>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</si>
  <si>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</si>
  <si>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</si>
  <si>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</si>
  <si>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</si>
  <si>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</si>
  <si>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</si>
  <si>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</si>
  <si>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</si>
  <si>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</si>
  <si>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</si>
  <si>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</si>
  <si>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</si>
  <si>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</si>
  <si>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</si>
  <si>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</si>
  <si>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</si>
  <si>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</si>
  <si>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</si>
  <si>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</si>
  <si>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</si>
  <si>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</si>
  <si>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</si>
  <si>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</si>
  <si>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</si>
  <si>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</si>
  <si>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</si>
  <si>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</si>
  <si>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</si>
  <si>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</si>
  <si>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</si>
  <si>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</si>
  <si>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</si>
  <si>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</si>
  <si>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</si>
  <si>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</si>
  <si>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</si>
  <si>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</si>
  <si>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</si>
  <si>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</si>
  <si>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</si>
  <si>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</si>
  <si>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</si>
  <si>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</si>
  <si>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</si>
  <si>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</si>
  <si>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</si>
  <si>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</si>
  <si>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</si>
  <si>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</si>
  <si>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</si>
  <si>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</si>
  <si>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</si>
  <si>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</si>
  <si>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</si>
  <si>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</si>
  <si>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</si>
  <si>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</si>
  <si>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</si>
  <si>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</si>
  <si>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</si>
  <si>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</si>
  <si>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</si>
  <si>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</si>
  <si>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</si>
  <si>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</si>
  <si>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</si>
  <si>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</si>
  <si>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</si>
  <si>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</si>
  <si>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</si>
  <si>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</si>
  <si>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</si>
  <si>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</si>
  <si>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</si>
  <si>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</si>
  <si>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</si>
  <si>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</si>
  <si>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</si>
  <si>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</si>
  <si>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</si>
  <si>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</si>
  <si>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</si>
  <si>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</si>
  <si>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</si>
  <si>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</si>
  <si>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</si>
  <si>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</si>
  <si>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</si>
  <si>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</si>
  <si>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</si>
  <si>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Orders</t>
  </si>
  <si>
    <t>Count of TX ID</t>
  </si>
  <si>
    <t>Sum of Quantity</t>
  </si>
  <si>
    <t>Sum of Amount</t>
  </si>
  <si>
    <t>Average of Rating C</t>
  </si>
  <si>
    <t>Average of Days to Deliver</t>
  </si>
  <si>
    <t>Values for Display</t>
  </si>
  <si>
    <t>Qty</t>
  </si>
  <si>
    <t>Avg.Rating</t>
  </si>
  <si>
    <t>Avg.Days</t>
  </si>
  <si>
    <t>Row Labels</t>
  </si>
  <si>
    <t>Grand Total</t>
  </si>
  <si>
    <t>Column Labels</t>
  </si>
  <si>
    <t>Female</t>
  </si>
  <si>
    <t>Male</t>
  </si>
  <si>
    <t>Other</t>
  </si>
  <si>
    <t>Unknown</t>
  </si>
  <si>
    <t>for matrix</t>
  </si>
  <si>
    <t>6 to 10</t>
  </si>
  <si>
    <t>more then 10</t>
  </si>
  <si>
    <t xml:space="preserve">map chart stuff </t>
  </si>
  <si>
    <t>map chart for amount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</si>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</sst>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9"/>
        <bgColor indexed="64"/>
      </patternFill>
    </fill>
  </fills>
  <borders count="10">
    <border>
      <left/>
      <right/>
      <top/>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15" fontId="0" fillId="0" borderId="0" xfId="0" applyNumberFormat="1"/>
    <xf numFmtId="0" fontId="0" fillId="2" borderId="0" xfId="0" applyFill="1"/>
    <xf numFmtId="9" fontId="0" fillId="0" borderId="0" xfId="1" applyFont="1"/>
    <xf numFmtId="0" fontId="0" fillId="0" borderId="0" xfId="0" pivotButton="1"/>
    <xf numFmtId="0" fontId="0" fillId="0" borderId="0" xfId="0" applyAlignment="1">
      <alignment horizontal="left"/>
    </xf>
    <xf numFmtId="1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164" fontId="0" fillId="0" borderId="5" xfId="0" applyNumberFormat="1" applyBorder="1"/>
    <xf numFmtId="164" fontId="0" fillId="0" borderId="6" xfId="0" applyNumberFormat="1" applyBorder="1"/>
    <xf numFmtId="0" fontId="0" fillId="0" borderId="7" xfId="0" applyBorder="1"/>
    <xf numFmtId="164" fontId="0" fillId="0" borderId="8" xfId="0" applyNumberFormat="1" applyBorder="1"/>
    <xf numFmtId="164" fontId="0" fillId="0" borderId="9" xfId="0" applyNumberFormat="1" applyBorder="1"/>
  </cellXfs>
  <cellStyles count="2">
    <cellStyle name="Normal" xfId="0" builtinId="0"/>
    <cellStyle name="Percent" xfId="1" builtinId="5"/>
  </cellStyles>
  <dxfs count="5">
    <dxf>
      <numFmt numFmtId="0" formatCode="General"/>
    </dxf>
    <dxf>
      <numFmt numFmtId="0" formatCode="General"/>
    </dxf>
    <dxf>
      <numFmt numFmtId="0" formatCode="General"/>
    </dxf>
    <dxf>
      <numFmt numFmtId="165" formatCode="d\-mmm\-yy"/>
    </dxf>
    <dxf>
      <numFmt numFmtId="165"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[Excel_Dashboard.xlsx.xlsx]pivots!PivotTable2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Last</a:t>
            </a:r>
            <a:r>
              <a:rPr lang="en-US" b="1" baseline="0">
                <a:solidFill>
                  <a:sysClr val="windowText" lastClr="000000"/>
                </a:solidFill>
              </a:rPr>
              <a:t> 13 week Treads - Qty &amp; Amount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30034062338791"/>
          <c:y val="0.10914536363249018"/>
          <c:w val="0.81225939503430034"/>
          <c:h val="0.80409202262218393"/>
        </c:manualLayout>
      </c:layout>
      <c:lineChart>
        <c:grouping val="standard"/>
        <c:varyColors val="0"/>
        <c:ser>
          <c:idx val="0"/>
          <c:order val="0"/>
          <c:tx>
            <c:strRef>
              <c:f>pivots!$B$9</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pivots!$A$10:$A$25</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pivots!$B$10:$B$25</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smooth val="0"/>
          <c:extLst>
            <c:ext xmlns:c16="http://schemas.microsoft.com/office/drawing/2014/chart" uri="{C3380CC4-5D6E-409C-BE32-E72D297353CC}">
              <c16:uniqueId val="{00000000-08D7-4FF8-B8AB-74FB8CF580B3}"/>
            </c:ext>
          </c:extLst>
        </c:ser>
        <c:dLbls>
          <c:showLegendKey val="0"/>
          <c:showVal val="0"/>
          <c:showCatName val="0"/>
          <c:showSerName val="0"/>
          <c:showPercent val="0"/>
          <c:showBubbleSize val="0"/>
        </c:dLbls>
        <c:marker val="1"/>
        <c:smooth val="0"/>
        <c:axId val="1156968351"/>
        <c:axId val="1156965471"/>
      </c:lineChart>
      <c:catAx>
        <c:axId val="115696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965471"/>
        <c:crosses val="autoZero"/>
        <c:auto val="1"/>
        <c:lblAlgn val="ctr"/>
        <c:lblOffset val="100"/>
        <c:noMultiLvlLbl val="0"/>
      </c:catAx>
      <c:valAx>
        <c:axId val="1156965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968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[Excel_Dashboard.xlsx.xlsx]Sheet3!PivotTable6</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How</a:t>
            </a:r>
            <a:r>
              <a:rPr lang="en-US" b="1" baseline="0">
                <a:solidFill>
                  <a:sysClr val="windowText" lastClr="000000"/>
                </a:solidFill>
              </a:rPr>
              <a:t> many they buy?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Sheet3!$A$4:$A$11</c:f>
              <c:strCache>
                <c:ptCount val="7"/>
                <c:pt idx="0">
                  <c:v>1</c:v>
                </c:pt>
                <c:pt idx="1">
                  <c:v>2</c:v>
                </c:pt>
                <c:pt idx="2">
                  <c:v>3</c:v>
                </c:pt>
                <c:pt idx="3">
                  <c:v>4</c:v>
                </c:pt>
                <c:pt idx="4">
                  <c:v>5</c:v>
                </c:pt>
                <c:pt idx="5">
                  <c:v>6 to 10</c:v>
                </c:pt>
                <c:pt idx="6">
                  <c:v>more then 10</c:v>
                </c:pt>
              </c:strCache>
            </c:strRef>
          </c:cat>
          <c:val>
            <c:numRef>
              <c:f>Sheet3!$B$4:$B$11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C076-4919-8A67-F045BFB08A44}"/>
            </c:ext>
          </c:extLst>
        </c:ser>
        <c:dLbls>
          <c:showLegendKey val="0"/>
          <c:showVal val="0"/>
          <c:showCatName val="0"/>
          <c:showSerName val="0"/>
          <c:showPercent val="0"/>
          <c:showBubbleSize val="0"/>
        </c:dLbls>
        <c:gapWidth val="219"/>
        <c:overlap val="-27"/>
        <c:axId val="190937391"/>
        <c:axId val="1576357919"/>
      </c:barChart>
      <c:catAx>
        <c:axId val="19093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357919"/>
        <c:crosses val="autoZero"/>
        <c:auto val="1"/>
        <c:lblAlgn val="ctr"/>
        <c:lblOffset val="100"/>
        <c:noMultiLvlLbl val="0"/>
      </c:catAx>
      <c:valAx>
        <c:axId val="1576357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3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[Excel_Dashboard.xlsx.xlsx]Sheet4!PivotTable8</c:name>
    <c:fmtId val="1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200" b="1">
                <a:solidFill>
                  <a:sysClr val="windowText" lastClr="000000"/>
                </a:solidFill>
              </a:rPr>
              <a:t>which</a:t>
            </a:r>
            <a:r>
              <a:rPr lang="en-IN" sz="1200" b="1" baseline="0">
                <a:solidFill>
                  <a:sysClr val="windowText" lastClr="000000"/>
                </a:solidFill>
              </a:rPr>
              <a:t> Products are </a:t>
            </a:r>
            <a:r>
              <a:rPr lang="en-US" sz="1200" b="1" baseline="0">
                <a:solidFill>
                  <a:sysClr val="windowText" lastClr="000000"/>
                </a:solidFill>
              </a:rPr>
              <a:t>popular? Breakdown by Gender</a:t>
            </a:r>
            <a:endParaRPr lang="en-IN" sz="1200" b="1">
              <a:solidFill>
                <a:sysClr val="windowText" lastClr="000000"/>
              </a:solidFill>
            </a:endParaRPr>
          </a:p>
        </c:rich>
      </c:tx>
      <c:layout>
        <c:manualLayout>
          <c:xMode val="edge"/>
          <c:yMode val="edge"/>
          <c:x val="0.11477878444652169"/>
          <c:y val="1.1977547285965591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Female</c:v>
                </c:pt>
              </c:strCache>
            </c:strRef>
          </c:tx>
          <c:spPr>
            <a:solidFill>
              <a:schemeClr val="accent1"/>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25D0-4D56-8123-5810FAEE8881}"/>
            </c:ext>
          </c:extLst>
        </c:ser>
        <c:ser>
          <c:idx val="1"/>
          <c:order val="1"/>
          <c:tx>
            <c:strRef>
              <c:f>Sheet4!$C$3:$C$4</c:f>
              <c:strCache>
                <c:ptCount val="1"/>
                <c:pt idx="0">
                  <c:v>Male</c:v>
                </c:pt>
              </c:strCache>
            </c:strRef>
          </c:tx>
          <c:spPr>
            <a:solidFill>
              <a:schemeClr val="accent2"/>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5-25D0-4D56-8123-5810FAEE8881}"/>
            </c:ext>
          </c:extLst>
        </c:ser>
        <c:ser>
          <c:idx val="2"/>
          <c:order val="2"/>
          <c:tx>
            <c:strRef>
              <c:f>Sheet4!$D$3:$D$4</c:f>
              <c:strCache>
                <c:ptCount val="1"/>
                <c:pt idx="0">
                  <c:v>Other</c:v>
                </c:pt>
              </c:strCache>
            </c:strRef>
          </c:tx>
          <c:spPr>
            <a:solidFill>
              <a:schemeClr val="accent3"/>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6-25D0-4D56-8123-5810FAEE8881}"/>
            </c:ext>
          </c:extLst>
        </c:ser>
        <c:ser>
          <c:idx val="3"/>
          <c:order val="3"/>
          <c:tx>
            <c:strRef>
              <c:f>Sheet4!$E$3:$E$4</c:f>
              <c:strCache>
                <c:ptCount val="1"/>
                <c:pt idx="0">
                  <c:v>Unknown</c:v>
                </c:pt>
              </c:strCache>
            </c:strRef>
          </c:tx>
          <c:spPr>
            <a:solidFill>
              <a:schemeClr val="accent4"/>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7-25D0-4D56-8123-5810FAEE8881}"/>
            </c:ext>
          </c:extLst>
        </c:ser>
        <c:dLbls>
          <c:showLegendKey val="0"/>
          <c:showVal val="0"/>
          <c:showCatName val="0"/>
          <c:showSerName val="0"/>
          <c:showPercent val="0"/>
          <c:showBubbleSize val="0"/>
        </c:dLbls>
        <c:gapWidth val="20"/>
        <c:overlap val="100"/>
        <c:axId val="193356127"/>
        <c:axId val="193359007"/>
      </c:barChart>
      <c:catAx>
        <c:axId val="193356127"/>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59007"/>
        <c:crosses val="autoZero"/>
        <c:auto val="1"/>
        <c:lblAlgn val="ctr"/>
        <c:lblOffset val="100"/>
        <c:noMultiLvlLbl val="0"/>
      </c:catAx>
      <c:valAx>
        <c:axId val="193359007"/>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5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[Excel_Dashboard.xlsx.xlsx]Sheet4!PivotTable9</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0084554289326898E-2"/>
              <c:y val="0.310095919067293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5535806653509324"/>
                  <c:h val="0.33850935909345919"/>
                </c:manualLayout>
              </c15:layout>
            </c:ext>
          </c:extLst>
        </c:dLbl>
      </c:pivotFmt>
      <c:pivotFmt>
        <c:idx val="8"/>
        <c:spPr>
          <a:solidFill>
            <a:schemeClr val="accent1"/>
          </a:solidFill>
          <a:ln w="19050">
            <a:solidFill>
              <a:schemeClr val="lt1"/>
            </a:solidFill>
          </a:ln>
          <a:effectLst/>
        </c:spPr>
        <c:dLbl>
          <c:idx val="0"/>
          <c:layout>
            <c:manualLayout>
              <c:x val="-0.13392859496776485"/>
              <c:y val="0.274038254059468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8125004943230619"/>
              <c:y val="-3.60576650078248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39658629720653427"/>
              <c:y val="-3.245189850704230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A932DD1-A635-4C5E-A869-C682761D45A9}" type="CATEGORYNAME">
                  <a:rPr lang="en-US"/>
                  <a:pPr>
                    <a:defRPr/>
                  </a:pPr>
                  <a:t>[CATEGORY NAME]</a:t>
                </a:fld>
                <a:r>
                  <a:rPr lang="en-US" baseline="0"/>
                  <a:t>, </a:t>
                </a:r>
                <a:fld id="{5D57E8C5-4891-45DF-9255-8D733AF9B51A}" type="VALUE">
                  <a:rPr lang="en-US" baseline="0"/>
                  <a:pPr>
                    <a:defRPr/>
                  </a:pPr>
                  <a:t>[VALUE]</a:t>
                </a:fld>
                <a:r>
                  <a:rPr lang="en-US" baseline="0"/>
                  <a:t>, </a:t>
                </a:r>
              </a:p>
              <a:p>
                <a:pPr>
                  <a:defRPr/>
                </a:pPr>
                <a:fld id="{A885C075-62F1-401C-838E-29A10986CDE9}" type="PERCENTAGE">
                  <a:rPr lang="en-US" baseline="0"/>
                  <a:pPr>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6602911734201301"/>
                  <c:h val="0.37456702410128401"/>
                </c:manualLayout>
              </c15:layout>
              <c15:dlblFieldTable/>
              <c15:showDataLabelsRange val="0"/>
            </c:ext>
          </c:extLst>
        </c:dLbl>
      </c:pivotFmt>
    </c:pivotFmts>
    <c:plotArea>
      <c:layout/>
      <c:doughnutChart>
        <c:varyColors val="1"/>
        <c:ser>
          <c:idx val="0"/>
          <c:order val="0"/>
          <c:tx>
            <c:strRef>
              <c:f>Sheet4!$K$4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A3-4238-8D5B-79467F672D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A3-4238-8D5B-79467F672D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9A3-4238-8D5B-79467F672D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9A3-4238-8D5B-79467F672DC1}"/>
              </c:ext>
            </c:extLst>
          </c:dPt>
          <c:dLbls>
            <c:dLbl>
              <c:idx val="0"/>
              <c:layout>
                <c:manualLayout>
                  <c:x val="8.0084554289326898E-2"/>
                  <c:y val="0.31009591906729328"/>
                </c:manualLayout>
              </c:layout>
              <c:showLegendKey val="0"/>
              <c:showVal val="1"/>
              <c:showCatName val="1"/>
              <c:showSerName val="0"/>
              <c:showPercent val="1"/>
              <c:showBubbleSize val="0"/>
              <c:extLst>
                <c:ext xmlns:c15="http://schemas.microsoft.com/office/drawing/2012/chart" uri="{CE6537A1-D6FC-4f65-9D91-7224C49458BB}">
                  <c15:layout>
                    <c:manualLayout>
                      <c:w val="0.25535806653509324"/>
                      <c:h val="0.33850935909345919"/>
                    </c:manualLayout>
                  </c15:layout>
                </c:ext>
                <c:ext xmlns:c16="http://schemas.microsoft.com/office/drawing/2014/chart" uri="{C3380CC4-5D6E-409C-BE32-E72D297353CC}">
                  <c16:uniqueId val="{00000001-99A3-4238-8D5B-79467F672DC1}"/>
                </c:ext>
              </c:extLst>
            </c:dLbl>
            <c:dLbl>
              <c:idx val="1"/>
              <c:layout>
                <c:manualLayout>
                  <c:x val="-0.13392859496776485"/>
                  <c:y val="0.27403825405946858"/>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9A3-4238-8D5B-79467F672DC1}"/>
                </c:ext>
              </c:extLst>
            </c:dLbl>
            <c:dLbl>
              <c:idx val="2"/>
              <c:layout>
                <c:manualLayout>
                  <c:x val="-0.28125004943230619"/>
                  <c:y val="-3.6057665007824813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9A3-4238-8D5B-79467F672DC1}"/>
                </c:ext>
              </c:extLst>
            </c:dLbl>
            <c:dLbl>
              <c:idx val="3"/>
              <c:layout>
                <c:manualLayout>
                  <c:x val="0.39658629720653427"/>
                  <c:y val="-3.245189850704230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A932DD1-A635-4C5E-A869-C682761D45A9}" type="CATEGORYNAME">
                      <a:rPr lang="en-US"/>
                      <a:pPr>
                        <a:defRPr/>
                      </a:pPr>
                      <a:t>[CATEGORY NAME]</a:t>
                    </a:fld>
                    <a:r>
                      <a:rPr lang="en-US" baseline="0"/>
                      <a:t>, </a:t>
                    </a:r>
                    <a:fld id="{5D57E8C5-4891-45DF-9255-8D733AF9B51A}" type="VALUE">
                      <a:rPr lang="en-US" baseline="0"/>
                      <a:pPr>
                        <a:defRPr/>
                      </a:pPr>
                      <a:t>[VALUE]</a:t>
                    </a:fld>
                    <a:r>
                      <a:rPr lang="en-US" baseline="0"/>
                      <a:t>, </a:t>
                    </a:r>
                  </a:p>
                  <a:p>
                    <a:pPr>
                      <a:defRPr/>
                    </a:pPr>
                    <a:fld id="{A885C075-62F1-401C-838E-29A10986CDE9}" type="PERCENTAGE">
                      <a:rPr lang="en-US" baseline="0"/>
                      <a:pPr>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6602911734201301"/>
                      <c:h val="0.37456702410128401"/>
                    </c:manualLayout>
                  </c15:layout>
                  <c15:dlblFieldTable/>
                  <c15:showDataLabelsRange val="0"/>
                </c:ext>
                <c:ext xmlns:c16="http://schemas.microsoft.com/office/drawing/2014/chart" uri="{C3380CC4-5D6E-409C-BE32-E72D297353CC}">
                  <c16:uniqueId val="{00000007-99A3-4238-8D5B-79467F672D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Sheet4!$J$5:$J$9</c:f>
              <c:strCache>
                <c:ptCount val="4"/>
                <c:pt idx="0">
                  <c:v>Female</c:v>
                </c:pt>
                <c:pt idx="1">
                  <c:v>Male</c:v>
                </c:pt>
                <c:pt idx="2">
                  <c:v>Other</c:v>
                </c:pt>
                <c:pt idx="3">
                  <c:v>Unknown</c:v>
                </c:pt>
              </c:strCache>
            </c:strRef>
          </c:cat>
          <c:val>
            <c:numRef>
              <c:f>Sheet4!$K$5:$K$9</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99A3-4238-8D5B-79467F672DC1}"/>
            </c:ext>
          </c:extLst>
        </c:ser>
        <c:dLbls>
          <c:showLegendKey val="0"/>
          <c:showVal val="0"/>
          <c:showCatName val="0"/>
          <c:showSerName val="0"/>
          <c:showPercent val="0"/>
          <c:showBubbleSize val="0"/>
          <c:showLeaderLines val="1"/>
        </c:dLbls>
        <c:firstSliceAng val="0"/>
        <c:holeSize val="5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[Excel_Dashboard.xlsx.xlsx]pivots!PivotTable2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How</a:t>
            </a:r>
            <a:r>
              <a:rPr lang="en-US" b="1" baseline="0">
                <a:solidFill>
                  <a:sysClr val="windowText" lastClr="000000"/>
                </a:solidFill>
              </a:rPr>
              <a:t> long we take to ship?</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pivots!$B$9</c:f>
              <c:strCache>
                <c:ptCount val="1"/>
                <c:pt idx="0">
                  <c:v>Total</c:v>
                </c:pt>
              </c:strCache>
            </c:strRef>
          </c:tx>
          <c:spPr>
            <a:solidFill>
              <a:schemeClr val="accent1"/>
            </a:solidFill>
            <a:ln>
              <a:noFill/>
            </a:ln>
            <a:effectLst/>
            <a:sp3d/>
          </c:spPr>
          <c:invertIfNegative val="0"/>
          <c:cat>
            <c:strRef>
              <c:f>pivots!$A$10:$A$25</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pivots!$B$10:$B$25</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8769-44DD-853F-0483AA9CCB5F}"/>
            </c:ext>
          </c:extLst>
        </c:ser>
        <c:dLbls>
          <c:showLegendKey val="0"/>
          <c:showVal val="0"/>
          <c:showCatName val="0"/>
          <c:showSerName val="0"/>
          <c:showPercent val="0"/>
          <c:showBubbleSize val="0"/>
        </c:dLbls>
        <c:gapWidth val="150"/>
        <c:shape val="box"/>
        <c:axId val="1490238767"/>
        <c:axId val="1490238287"/>
        <c:axId val="0"/>
      </c:bar3DChart>
      <c:catAx>
        <c:axId val="1490238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238287"/>
        <c:crosses val="autoZero"/>
        <c:auto val="1"/>
        <c:lblAlgn val="ctr"/>
        <c:lblOffset val="100"/>
        <c:noMultiLvlLbl val="0"/>
      </c:catAx>
      <c:valAx>
        <c:axId val="149023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23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[Excel_Dashboard.xlsx.xlsx]Sheet6!PivotTable15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How</a:t>
            </a:r>
            <a:r>
              <a:rPr lang="en-IN" b="1" baseline="0">
                <a:solidFill>
                  <a:sysClr val="windowText" lastClr="000000"/>
                </a:solidFill>
              </a:rPr>
              <a:t> </a:t>
            </a:r>
            <a:r>
              <a:rPr lang="en-US" b="1" baseline="0">
                <a:solidFill>
                  <a:sysClr val="windowText" lastClr="000000"/>
                </a:solidFill>
              </a:rPr>
              <a:t>satisfying are our customers?</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Sheet6!$B$3:$B$4</c:f>
              <c:strCache>
                <c:ptCount val="1"/>
                <c:pt idx="0">
                  <c:v>1</c:v>
                </c:pt>
              </c:strCache>
            </c:strRef>
          </c:tx>
          <c:spPr>
            <a:solidFill>
              <a:schemeClr val="accent1"/>
            </a:solidFill>
            <a:ln>
              <a:noFill/>
            </a:ln>
            <a:effectLst/>
          </c:spPr>
          <c:invertIfNegative val="0"/>
          <c:cat>
            <c:strRef>
              <c:f>Sheet6!$A$5:$A$8</c:f>
              <c:strCache>
                <c:ptCount val="3"/>
                <c:pt idx="0">
                  <c:v>Jan</c:v>
                </c:pt>
                <c:pt idx="1">
                  <c:v>Feb</c:v>
                </c:pt>
                <c:pt idx="2">
                  <c:v>Mar</c:v>
                </c:pt>
              </c:strCache>
            </c:strRef>
          </c:cat>
          <c:val>
            <c:numRef>
              <c:f>Sheet6!$B$5:$B$8</c:f>
              <c:numCache>
                <c:formatCode>General</c:formatCode>
                <c:ptCount val="3"/>
                <c:pt idx="0">
                  <c:v>7</c:v>
                </c:pt>
                <c:pt idx="1">
                  <c:v>8</c:v>
                </c:pt>
                <c:pt idx="2">
                  <c:v>6</c:v>
                </c:pt>
              </c:numCache>
            </c:numRef>
          </c:val>
          <c:extLst>
            <c:ext xmlns:c16="http://schemas.microsoft.com/office/drawing/2014/chart" uri="{C3380CC4-5D6E-409C-BE32-E72D297353CC}">
              <c16:uniqueId val="{00000000-2BA7-4A29-B821-CC9FE449F8CF}"/>
            </c:ext>
          </c:extLst>
        </c:ser>
        <c:ser>
          <c:idx val="1"/>
          <c:order val="1"/>
          <c:tx>
            <c:strRef>
              <c:f>Sheet6!$C$3:$C$4</c:f>
              <c:strCache>
                <c:ptCount val="1"/>
                <c:pt idx="0">
                  <c:v>2</c:v>
                </c:pt>
              </c:strCache>
            </c:strRef>
          </c:tx>
          <c:spPr>
            <a:solidFill>
              <a:schemeClr val="accent2"/>
            </a:solidFill>
            <a:ln>
              <a:noFill/>
            </a:ln>
            <a:effectLst/>
          </c:spPr>
          <c:invertIfNegative val="0"/>
          <c:cat>
            <c:strRef>
              <c:f>Sheet6!$A$5:$A$8</c:f>
              <c:strCache>
                <c:ptCount val="3"/>
                <c:pt idx="0">
                  <c:v>Jan</c:v>
                </c:pt>
                <c:pt idx="1">
                  <c:v>Feb</c:v>
                </c:pt>
                <c:pt idx="2">
                  <c:v>Mar</c:v>
                </c:pt>
              </c:strCache>
            </c:strRef>
          </c:cat>
          <c:val>
            <c:numRef>
              <c:f>Sheet6!$C$5:$C$8</c:f>
              <c:numCache>
                <c:formatCode>General</c:formatCode>
                <c:ptCount val="3"/>
                <c:pt idx="0">
                  <c:v>37</c:v>
                </c:pt>
                <c:pt idx="1">
                  <c:v>51</c:v>
                </c:pt>
                <c:pt idx="2">
                  <c:v>39</c:v>
                </c:pt>
              </c:numCache>
            </c:numRef>
          </c:val>
          <c:extLst>
            <c:ext xmlns:c16="http://schemas.microsoft.com/office/drawing/2014/chart" uri="{C3380CC4-5D6E-409C-BE32-E72D297353CC}">
              <c16:uniqueId val="{00000001-2BA7-4A29-B821-CC9FE449F8CF}"/>
            </c:ext>
          </c:extLst>
        </c:ser>
        <c:ser>
          <c:idx val="2"/>
          <c:order val="2"/>
          <c:tx>
            <c:strRef>
              <c:f>Sheet6!$D$3:$D$4</c:f>
              <c:strCache>
                <c:ptCount val="1"/>
                <c:pt idx="0">
                  <c:v>3</c:v>
                </c:pt>
              </c:strCache>
            </c:strRef>
          </c:tx>
          <c:spPr>
            <a:solidFill>
              <a:schemeClr val="accent3"/>
            </a:solidFill>
            <a:ln>
              <a:noFill/>
            </a:ln>
            <a:effectLst/>
          </c:spPr>
          <c:invertIfNegative val="0"/>
          <c:cat>
            <c:strRef>
              <c:f>Sheet6!$A$5:$A$8</c:f>
              <c:strCache>
                <c:ptCount val="3"/>
                <c:pt idx="0">
                  <c:v>Jan</c:v>
                </c:pt>
                <c:pt idx="1">
                  <c:v>Feb</c:v>
                </c:pt>
                <c:pt idx="2">
                  <c:v>Mar</c:v>
                </c:pt>
              </c:strCache>
            </c:strRef>
          </c:cat>
          <c:val>
            <c:numRef>
              <c:f>Sheet6!$D$5:$D$8</c:f>
              <c:numCache>
                <c:formatCode>General</c:formatCode>
                <c:ptCount val="3"/>
                <c:pt idx="0">
                  <c:v>150</c:v>
                </c:pt>
                <c:pt idx="1">
                  <c:v>182</c:v>
                </c:pt>
                <c:pt idx="2">
                  <c:v>163</c:v>
                </c:pt>
              </c:numCache>
            </c:numRef>
          </c:val>
          <c:extLst>
            <c:ext xmlns:c16="http://schemas.microsoft.com/office/drawing/2014/chart" uri="{C3380CC4-5D6E-409C-BE32-E72D297353CC}">
              <c16:uniqueId val="{00000002-2BA7-4A29-B821-CC9FE449F8CF}"/>
            </c:ext>
          </c:extLst>
        </c:ser>
        <c:ser>
          <c:idx val="3"/>
          <c:order val="3"/>
          <c:tx>
            <c:strRef>
              <c:f>Sheet6!$E$3:$E$4</c:f>
              <c:strCache>
                <c:ptCount val="1"/>
                <c:pt idx="0">
                  <c:v>4</c:v>
                </c:pt>
              </c:strCache>
            </c:strRef>
          </c:tx>
          <c:spPr>
            <a:solidFill>
              <a:schemeClr val="accent4"/>
            </a:solidFill>
            <a:ln>
              <a:noFill/>
            </a:ln>
            <a:effectLst/>
          </c:spPr>
          <c:invertIfNegative val="0"/>
          <c:cat>
            <c:strRef>
              <c:f>Sheet6!$A$5:$A$8</c:f>
              <c:strCache>
                <c:ptCount val="3"/>
                <c:pt idx="0">
                  <c:v>Jan</c:v>
                </c:pt>
                <c:pt idx="1">
                  <c:v>Feb</c:v>
                </c:pt>
                <c:pt idx="2">
                  <c:v>Mar</c:v>
                </c:pt>
              </c:strCache>
            </c:strRef>
          </c:cat>
          <c:val>
            <c:numRef>
              <c:f>Sheet6!$E$5:$E$8</c:f>
              <c:numCache>
                <c:formatCode>General</c:formatCode>
                <c:ptCount val="3"/>
                <c:pt idx="0">
                  <c:v>312</c:v>
                </c:pt>
                <c:pt idx="1">
                  <c:v>373</c:v>
                </c:pt>
                <c:pt idx="2">
                  <c:v>351</c:v>
                </c:pt>
              </c:numCache>
            </c:numRef>
          </c:val>
          <c:extLst>
            <c:ext xmlns:c16="http://schemas.microsoft.com/office/drawing/2014/chart" uri="{C3380CC4-5D6E-409C-BE32-E72D297353CC}">
              <c16:uniqueId val="{00000003-2BA7-4A29-B821-CC9FE449F8CF}"/>
            </c:ext>
          </c:extLst>
        </c:ser>
        <c:ser>
          <c:idx val="4"/>
          <c:order val="4"/>
          <c:tx>
            <c:strRef>
              <c:f>Sheet6!$F$3:$F$4</c:f>
              <c:strCache>
                <c:ptCount val="1"/>
                <c:pt idx="0">
                  <c:v>5</c:v>
                </c:pt>
              </c:strCache>
            </c:strRef>
          </c:tx>
          <c:spPr>
            <a:solidFill>
              <a:schemeClr val="accent5"/>
            </a:solidFill>
            <a:ln>
              <a:noFill/>
            </a:ln>
            <a:effectLst/>
          </c:spPr>
          <c:invertIfNegative val="0"/>
          <c:cat>
            <c:strRef>
              <c:f>Sheet6!$A$5:$A$8</c:f>
              <c:strCache>
                <c:ptCount val="3"/>
                <c:pt idx="0">
                  <c:v>Jan</c:v>
                </c:pt>
                <c:pt idx="1">
                  <c:v>Feb</c:v>
                </c:pt>
                <c:pt idx="2">
                  <c:v>Mar</c:v>
                </c:pt>
              </c:strCache>
            </c:strRef>
          </c:cat>
          <c:val>
            <c:numRef>
              <c:f>Sheet6!$F$5:$F$8</c:f>
              <c:numCache>
                <c:formatCode>General</c:formatCode>
                <c:ptCount val="3"/>
                <c:pt idx="0">
                  <c:v>224</c:v>
                </c:pt>
                <c:pt idx="1">
                  <c:v>247</c:v>
                </c:pt>
                <c:pt idx="2">
                  <c:v>250</c:v>
                </c:pt>
              </c:numCache>
            </c:numRef>
          </c:val>
          <c:extLst>
            <c:ext xmlns:c16="http://schemas.microsoft.com/office/drawing/2014/chart" uri="{C3380CC4-5D6E-409C-BE32-E72D297353CC}">
              <c16:uniqueId val="{00000006-2BA7-4A29-B821-CC9FE449F8CF}"/>
            </c:ext>
          </c:extLst>
        </c:ser>
        <c:dLbls>
          <c:showLegendKey val="0"/>
          <c:showVal val="0"/>
          <c:showCatName val="0"/>
          <c:showSerName val="0"/>
          <c:showPercent val="0"/>
          <c:showBubbleSize val="0"/>
        </c:dLbls>
        <c:gapWidth val="219"/>
        <c:overlap val="-27"/>
        <c:axId val="129160943"/>
        <c:axId val="129159503"/>
      </c:barChart>
      <c:catAx>
        <c:axId val="12916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59503"/>
        <c:crosses val="autoZero"/>
        <c:auto val="1"/>
        <c:lblAlgn val="ctr"/>
        <c:lblOffset val="100"/>
        <c:noMultiLvlLbl val="0"/>
      </c:catAx>
      <c:valAx>
        <c:axId val="12915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6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plotArea>
      <cx:plotAreaRegion>
        <cx:series layoutId="regionMap" uniqueId="{BA79EED4-E8C2-4AE6-AB3B-CD4489B962BB}">
          <cx:tx>
            <cx:txData>
              <cx:f>_xlchart.v5.2</cx:f>
              <cx:v>Sum of Quantity</cx:v>
            </cx:txData>
          </cx:tx>
          <cx:dataId val="0"/>
          <cx:layoutPr>
            <cx:geography cultureLanguage="en-US" cultureRegion="IN" attribution="Powered by Bing">
              <cx:geoCache provider="{E9337A44-BEBE-4D9F-B70C-5C5E7DAFC167}">
                <cx:binary>7H1pj9u4svZfCfL5VY8oUlwOzhxgKHnpfc36RXC6HYnaqH379bfcneTEsnuuGhh/eI3rDJBJ28Uu
6yGLTy0s/vux+9djvF4V77okTst/PXZ/vg+qKvvXH3+Uj8E6WZUniXosdKm/VyePOvlDf/+uHtd/
PBWrVqX+H5aJyB+Pwaqo1t37//wbRvPX+kI/riql09t6XfR367KOq/Jv3tv71rvVU6JSV5VVoR4r
9Od7ZxWr77pI1er99nvWn+/vdaqT1TtH12nVv3+3TitV9Q99tv7z/dYw1vt3f4x/245m72JQvqqf
QBjzE4IFFcxi5vMLv38X69T/8baBLOuEIZsSwsnPX3u1SkByukbP+qyenop1WcIXe/57R37rW8Cz
+Ot/fQaPm2exefo+APHn+w+pqtZP7+6rVbUu379TpX5+WEXv6M0X/XD//GT+2MbvP/8e/QCe1egn
v0E8frD/21vbKP4vCDs6rstDICxOLFNYmCL7BWGYImOETZNjKoi9jfB0jfYjPJKfgPBI4sgQnsMC
SPUB1jA9YRhR20ZIvLxGCCNxwrgNf9AI4eka7Ud4JD8B4ZHEkSH8Vwym8ekQi5idcJNwi1P8gjAb
QQxm2mIWYRRW98vm8GKl36DRfojHA0zAeCxydCBnKl0fYBnzEyqwDXaavGDMRxhvljG8bJuNtuK/
4qkavYbxlvwkiLckjgzh+9VjAQs5rQ5hrPmJzQBnws1XVjI6IWLzB5Pn/RptL+i36bYf7z1jTMB8
j9SR4e6u43dXGoj+P7+4CTphNmHMQvwV2AnQNILBgI8s+JuU2o/37hAT4N4VOjK0b+IanL9/Hmos
TgSmzLbwDzq2s1ebJ4JwYYOx317b0zXaj/NIfgLII4kjQ/hy9bQuVgdAmJ4IamHbYj9cKrDR2y6V
eWJSMPEEiW2Ep2u0H+GR/ASERxJHhvD5ukgPgK99ghlsvzahLy7zGF9gYiYYcoQtWNu/0+2p+uxH
d0t6ArZbnz8yZP9KVk+6OAC2/ASDm2Ram3jWeNHC/mwJbIp9xGu6QvvBHclPgHckcWQAQ7Rz1YB5
PsQOzE8QGGhksR9BzZ2Ql3lCgX9bmNDt9fsmpfbjvDvEBKh3hY4MbVlXh6DVwLVsBDCCqd7vM1vo
xAYzjpA18qMmK7Qf5W3xCQhvCxwZuperQh1iH2YnghEbWNaPqNc4IgJRLxsjTpmAd37fhycrtB/d
bfEJ6G4LHBm6joY8y4ZGl9UhyDR/5lICY/bKErZOEHBpm6ERyG/Vaz/We0eZAPleuSNDfha/c3UB
ROwgPIxZgoKX/IK6AE9ph44JgQD4FxI+st9vUm0/8rtDTIB9V+jIMH8AUw655X8ecWJCmgpcZmbT
V0JgFsRFTBtBqnLbmr9Bpf1IjweYgPNY5MhQXsTr9BA7NvAxCyAUFhDr7eUMVlxwxCBqsg3uZE32
Q7stPgHYbYEjg/ViFR0geA0sG0LTiJngGz+/dvwpWLnIRpSzkT81VZ/92G5JT4B26/NHhuyyTr7p
+Kk6jF3mFBGyu2bJCaIIm5B3frHY2yv3LSrtB3hnhAkg78gcGdDnUHR2iJgIPYHNF0oEiP2DcI0M
NMQ0KbwHjvI4pjlVof0Yb3+fCQBvCxwZuqdJti7UKv7nlzGGQj1hcRsM9YuRHlfyIfvEhiIhG0H0
c/Makay3aLYf6Z0RJoC9I3NseKf9IZwnCuVAFjAt9iPsNXae0CYCKijlfOQzn07U5xWEf5eegu7v
nz8yZO8URK9L9XQIvoVPBDdtjH+knzZLdYtMIwYJKmaCqR7lF9+k1H6Md4eYAPSu0JGhfbEqy/UB
HCZwigkUfHFhvRhtc2y1LUhVwNsEgpzb7Gu6RvtxHslPAHkkcWQIP9TxqjjEYgbihU0E+L6kFXcX
MxRoCzDUyAbsfw9iT9doP8Ij+QkIjySODOH7VfpOQsHAqnhSB6nDBncJCukRB7yfX+O1DGbbggiX
GFvttyu2H/BXxpkA/CuSRzYBLnT57q/UX8frQzhY5MS0LQvznw7WOFkFnMwiGIoPIJCyeY349xuV
2z8D9g0yAf59YkeG/f0mAX2IehIB2SnLgmKDH9V+Y9ghA00tG8IrYhQbm67RfqxH8hNgHkkcGcKb
HGymD3KEip1ALR+kLvgPlrbDx6HkkxLG4RDdvkDZWzTbj/XOCBPQ3pE5NrzX6ZN+PMxODot641kz
9iOWMgbcwlCtzSjGYsTKL9+i1CtY7wwxBewdoSND+16ti4PU8kLGipoYQtwvxy32OWDwpskpfyn2
HW3b0/Xaj/ZIfgLUI4ljw3mVbqpMwBc7RK0JxE2AgEEa60dCY89mvfHEiD0+CwsE+S1qvYL1nkGm
AL5H7PhQf+eqtX+IWOnzAXZmQ2x8N4qGKObgr/1IiWy73xufaLJOrwI+GmIa3COhIwP7Jl49HoSK
8xMOvjWUDP2ItIz9b6DiEDGH/Ij1KwX2e7xlul770R7JT4B6JHFkOF+ui0foyOD84z0rwIqbVFDY
kl9wHC9siJkSjgQ42nuPUE7Xaz/OI/kJOI8kjg1nDTz8n4cZjkwSYcIxOfSjXmynpMg8sYkFld9o
FDi9nKrQK/huiU+Bd0vg6NA9SKwUgmFwkP3XEt74UdspLoiKWxzsuTlKcV1CJ5wpk+01bH+TngTt
b58/PmQhJLY+QKknpieUUcaw+VpXIQiKQVMhisf9KgDdyTq9ivD2CNNQ3pY5MqSvVtkhvClYw9A4
ikDo8zmgves6Q1MSSF2aEDfbptZT9dmP8Jb0BHS3Pn9kyL74pXJVfDuMw0xOiAWxD2DVvyjz2ExT
wTGBou2XD2wD/Wb19iO+f5gJ0O8XPLI5cLVuVgdpOgRbMLUYx+aPY+77/CkEbcN2UhvTNdqP90h+
AtAjiSND+LpYQdpyCut5Y/c/DDWD4C9z+srxSchYcxsORNNxtnK6RvsRHslPQHgkcWQI3+t49RvT
fAlL/DP9HTfJR77hYs+vnUyGBbX9AmLb46PQ0zXaj/BIfgLCI4ljQ/i5+gSOVk3yXt64jqEe1Aac
oSfJ/m0aIl/EtEyo8h8nod+k1StI744xBe1dqSNEfA6W+1GVj/onL/on1jSDdo6mySBT8Qra1oa1
IZvjke8MdOjdL42mbCevA747zETMdwWPEPaLWpXvrr+pMjvEarfBrbIoMC+YBZvXjk2HmlEoHYam
B3vwf6Nqr8+AfQNNnAP7RI9wFpzpVV4fqjECnKMlFizz59ceZm4JOOsjxP6kNdiBNyj3+hwYDzIR
/7HYEWJ/CW2oD7H2n0uRGKSwf+z047jpphGsBRlsQcaFCoD5ZKVeR3x7iIl4bwsdG9qqjFSv6yn7
6dto3aZpJIZt3PrZ9RfM+Vb0BcCm0DHWhmZzP/nFj+bsb9DpFazHI0yBeixzbEi/FGIU9fDPYw0h
c+h1g4j5M9u1k9QERw0SInCMYJfCb0pTJmr1Ctq732wK3rtSx4Z4sDpI0xs49gNdnKH4BL/Wocw6
gcoUk8PaH63syRq9gvS2/BSUtyWODeFqlaoyXtWHOBLA4OyWCS0v6Gt9E6AgxdwcCmCw2n8vRYFb
LN6g1StI744xBe1dqSND/GEdrA5xlQqsaThaTeEQyCu5kg01g0wJdKN7Ye0jgjZdr/14j+QnYD2S
ODaca7hRJTlIp37oS8fhJBf4Vy/u1x4HHCqKEeLWiJc9vEGnV1AejzAF57HMkSH9EUxnfZB6YWjK
DqXf2HytNx00zYCGscik5siAv0Gl/TiPB5gA81jkyFD+ouNDONRw6waDNgpQpTB2rsD7YnBaD1rg
bG/OUxXZD+yW9ARUtz5/bJDW3w5Rl7I5vYOg0QkUjz2/dtpVQVNYaFXFgYCPkJ2ozyvI/i49Bdnf
P///AbJ/r+LWF97cdfbXz2e7J+Xx1lvq4OA0dPGlUIWyf8PdNC9CcIcd4L6vDAXaK/+6We/V1OrL
5X4799T9Lrv1HV++4t8/lMPcQvf6DXW/rvpzV9Vq9nxJ4G+X1P39u8+TGu42HIn+8Ev2gPirqOv0
6c/3UAKGbehZ8huym4G2vJqf7OfnxNiWW4Or/ed7Ay4x23Tvhtpt6OC9OXEJQ7brl7c2zTCg4S8Y
bAta8wsMm24K97UEP+4xxJhDowUq4CMWWPNS189vgRcGP2CQLNvEVoCd/7rG8UbHva/TX8/lx7/f
pXVyo1ValX++h45J799lL5/b6Ls5BQZV5VC5CNkVQjDcAgDvP67uNl2y4DH8P9TYRWLoJLke7OAM
IyRJo23ZRak7pKGeN1D3KEMvviRZHM1tTJZmjRYqq66D2jhN49AVrXWbIsOpMTpry2wV1eSLV8ZO
lFaX3YAufEGWQ0ALGRm6dwLmfyn7+LbxvGhGk2QlTEodEvS59OI6cwbUxudJH1syjoJS8qRKP2kc
nNe15hcpTm54EMVSaGHKgRlOIaJv1LDn2EM3Qaevs8IOZSbCzy1qqNQpveZ2XrtWHTEZoVZd11Q/
Ua1DaXdB5QwBo45qInRq9/yiqtgp9pIH3HfrngyXJRHfYq98aPtGu2HsLzStz6k9YKkbem1rdhZX
sS9FYH/AhuEOuvraBnReNkUjC2TkshX8hojiPE70ddhGV2EbzjMDeU5tt8oJWWxIVBifRFJkUg+Z
a9rhRVAMnRyy/hyLqDpN7TiXSTSgeUBFMjdC8bVjyY3d1Bek5voqy29NjedJpGY9Q9dwbmhe4+6u
R43swlBJXKAVRoGjYuNzQ7xP4ODPaV3XUjStvcRx8k319YfMMLGbDHUkURde9Q08ujyqb83O69wy
osnHnJzSvuSVrLivJc5Zc+WbfO61XiYTm7ZOXzf3QR/O4P/VXNEydqs8/ViDGl4+DE6kjE6SVi9s
ZcKz4cjRZn+eN4BDGBpMhiaPXd1zU/Y9vlNcn7et90TyLJSK0gei6Z1hMewYFb0QifZkbbPACbI8
lqoI7gzbO7XDilzYugpkl4cP3Esfuanc1EtukyB6CtPioy/MWsLh9tbx4UstMw+1jjA8Lj3d+Q7c
pTDHpOqkYp4TaxXNM1W7g0iW9hAtTNIsIwvHs7Tu+plV1mtu25lLaN44Jss+a53MBMrii8CGp53H
pXJ8PbQy7VApcVl00uAMyaHrtYRUaHY59MWHfIjuvKzmDjHDQmplIKk6zt2kTmsZF/rc1F18gZJo
XvPys6LsAg763aWNVg5TInEMNAyLJA1rmXpFOxd9CjMTW1+zNL/nDQBvt77b28OVWXtPXmMgFzf2
ncj4Xd16yxanhUSed8oig0sbJr2E+vZ5N/DYKVBKpOVHpczaopVhXjSOMfQrHw+lY5eG78TwRGVl
FGdVY7hmRGeoZ5lEcaKuofxqoQYrmfXRnRFKFHhENv6wMqJ+VTX0we+ahyhGbt3xm8iyIqf1B+K0
Fg4lVsbHnhuprGI2C4ZqHvQNPVMqb2WGKhtgb3yZGv0KcO3PSGnPdJYRGYHn6loGWVtdeRmbxmVn
VulM8T6dmf2w0oNa9lllO5omPcClMtm3jMm+0LW08vY+Ya128rJCC8/yhQO3j4I+TZy6bQ0zEH7+
3Yq7XvZ27MmIKCZ5bNzltbkuE5gShCbqTDP2ISvyqzIOGmkhss4y85oZ7bwMOyoNKyaztGXWnKJw
HphDceEhc9GlBNCGJ36ep/CloxRmU12lX0gS67k2wAb7igunaQoiwfQvPUK7pUb9KqdKLwSYRhKp
eY5rwwkCcjlUwXUZ40TazORur/B9Gyat9Im+yUtzERbkIRvAVmp0j/zccvTAC2lqtvL97CyjwZkF
X85tlUmlbdYfDDogxwtVPovDJpSFDZM6Kr0vDR2+FFV+F5TEX/qxscxCVM8SMHCSVPV9xlHiFhHg
iw3tcly0Tsu8VPpJ8S0sYjAVmaMDcQ2GbuHnQSItUj70XvsxsqpPRc6xG0f1JyIGc4msFrkQcgzO
hzJsXMUD2+mDOJHaz3sZI3xalOF9SvFiyGrtehH60kadKUUczu1YhA4XkSVxRqUorI8NvW3Ls8H7
3KpzEuDbNMwltOv+GBrJB4UTgCatFjTVVxb0ZXCyGJVLM6RrBIZ+hjpx0ygKS5sY3tKw+1gyOqhZ
zFQtFSGuFu1FmcV3jbCWrIvB/Kp+NvToPrXpeaD7QSq//sSqPpRmXp3l1VVDe1nZtZI+829Ij5Ub
a6EWVl6Ejl2oT6gfFnFchBepAeZ/MIpL0TNj3vR1NMdVF8oBYSzLjANaXjJrM//MFtxwSsqDQSLt
i1z2NbaWpNNrrpLgsk0rSTIfLDb7FOqkXRSVYkpW+dBfocBUTlACzqwf6NLn1Uwpz9Fgv868ahDX
CBf62hyMYemVFTltWHAVFwHnq5r0/WLoOgvsMc9nsHmEc5H788RGl1Zmn4I1OqMeTB3oSSGLyhhc
oyD4o2IZWIgm9yUpjWWQkytCSn+ZBuYa9+ba6/1vsOWEsg+6ZW8absKZa0UmfHXQscRIu1EXP3Yq
SqXtBwvLDC1ZeRjMg08/B13SLHpUhbM2D2Y5KrW0rGFOG0M54Eqd+/Cws2+VeYaIdxd5bGkYrXWl
CnaNs85zVJ0gJ4rND/D4YRdH8TrrwrPG8tk8y7vboqSLkJela2OWztPOjJy+MDNXwcWWEuXt57Tq
CqeL723SuzS2PyQiv+nzsJJ0iE5bQueFim8aWCey1N0cVdkD0+QRjOtNJdrUiQOYAormd8go5mDg
0KIlBWzZqLxKA0tJNqBlSitLijC5ZqLoZeQF9UyJqJ8VXQXzofVjN6BDIAtazpIuDmRGSSmVtlZD
aaUybtsFUyEYZ06vIOz4uSiyi47FzNGJMUOqc+yWf4GtZd601l2RN+ewcpfMoqbM2+BDNpSZE6r4
skWw1UboQnnVuRfrT3aGPrdeBHtEyj6VVnepO9Y4rRKGDA2USWH7H5PeTB1kxKeDOitIcdn5/jxr
rcitFb8N7Az2aIN+qLPmcugCaabqW0zsszxCMcDeXzQdr5d90VeztKOXCeKpQxMwhEawMG1F3dwm
y0hbF605nNcFxo5vD4VDB/opbJPkBnvm4PoVN6TRFpbbBGSQTS0ypyUWlnaS9k5WMjLjQ7EsiaXd
wgy/sRY4DO/qG5aVeCGKRi98UZYXSQ73dee4PY9DxsEoeYso9oyFSNoQOKdXweKyYz6QB1oZZ1Sx
ZEEDfSqAbWUyznBI5dAIquTvd31vkfxHnfWF8oMf17X/+ud/HnQC/z1f/v3fH25ue//vvxZrvcmu
l+MPbdyxX5/67wXiG/fn123iI6fq5cr4Vzyuv33zbe6Y+bfu2HMiZI8zBlI/nTEoHMXE2jjfGE6B
oE070V/OGIZL7uAiLeh7YwKVJHCf1g9nbNPU0IZcNYfKcrjrFNyx/zpjcIct5LkhMCOgGzEG/+kt
zhj0rt1yxsDhhKgA1L1uSiHhcmTKwCf93RlLYwjexqDGdSOCqHRDjD/4trkM09Q4q2N/hioyOLbR
9NJr6tOu7ZHUiQXkqxFnlR1RJ8MYzf2wf+CGzhd1mMQyRSqWwHxmYZ09+lYHLt5Q1Z23oFTXhouN
+mMJc/Suhx18QQvqXQSkp6dhx1yaW9jJWFNc2hapwc5awbxj6Fvlld9Nr66WWZteFVaIlEN1Gc1U
V4Pr0d2yJqS3eZbEjh+13DVj4LMFp4mMBbBGH5ab7EUmZAJa8S6ah35tLFHIvFmYbNhVrZ5QanW1
WzYe7E9p2Cxp6fnSzwZPVjjyweCl6NqzQi27OoWfBSJdMhQjoInd7aDiVBbMRPBbVCEHLLgsMM9d
gdvLmHnXoQ7OutRaVkWSw/DWqopxfk598GZ01diy8cI7bZdORPV5Y5gEzCgGi5zksNEFSMmiLma8
zgOnCKg3M7mxsYj3oiiWWWDyUzsfboo26l04ZfQJnKVHXeirHNkMvMLgDHH7xq68B79JQ9m2hdtE
4nuRkVOzFpd22ZauVRrUAQbOFlmsP4dtfEZT9aULq9LphfG983kANFHMVdx8tVOxzlKWnyISgEuZ
VlymFB5LE4ONwYEfXCjVgu+bl+qrleob3ocfI5Mlsk20lnFqdzODi3aW6HSQQ1l+ok35hdPO0WD8
ZpEP9Kb3VQB0KP+owSWdJ2YM4QFOfbc0uwcN0Mex1WDwok0wyQNqHBob2vFJfZOVQNVM1oazYqgf
SVZ9bsAVS/yUzD2MnjIvAi4MbvhZ6lnSMzie+ylr5rTDnjPkpQ+/3uoWtWkqaXokKaRCue1mBJ8a
tRALnyehg7mGhaD59z6kLonKbzhrAym8FjhbWMKmQsvvbZpR0LZPHFj7mZOlUTxXA5M08IRkhRBO
rmCNeJ2OZaODwfVQ7uC4whI8/4XfUOEGvLvGjbe07BTiDOk1jfipYah5bZ0mieu1lwLGLEl1n+Vt
5dCe3UQJ/cREcg2kPpYtDnvXC7tFhJBj5mpdptVnFgemq7sKXL8wE7MSdnJHi0rIKkznOsouLate
lEBOS78+jXL/okqyBDhx6Sirv7HiZklq4NysFTDbu+46ia3hjJvxl6BUVzbNUknNlp2GObuwRHKl
qmwRG7iSvOyB+0fRICmtlOsHiDuGj9RpHaoLq1bgcWZfYtQBO25L2I2R94Ew+1NdlNdWEpFFEGnh
diGijh0Q2y3SqpeBzyJp1NXCJ0kqBR06x+iTu5Z6nwYP9MuzupSDwmB6QM5P4k76VexmYXTqDcU6
TzGZWUOcyRz4swmusxP0NJICHqvTVMEny8O3VQvsDqu6nzVhSdyoKegyys3vEDk/J0pdqCBgsosT
DNM6d81EfRkofvA8wL3wNHPyCuItUYjubC6+IC9MpI/TW8voWokG/p2KelENRi/zlHvg4je3RVAv
vNR6aILy0mwMX7KMn0G8AUJVLLmN89TtmDLOgjb+oOwqdc2qO6M9nzV+DNS+s2wnzOPYoWkbzWJg
4e5gBpdD2hpA2HUHNDj+7g/eQ575WPbIiuDLBdmiC8KnIrOvfY1SafJ2cAnEJpwUQjfnrQ/8u+LZ
nLXMl0M+3PYYtzOjqTInEv59h9Wstoyl8LJzIZJmTrLizOZ2ALtA4Dt5nvQL3NLaiam25+BDf04K
c1755iovO7XorKB2eNtc0Tr5YNnNxcA0iFpqRhoyL0J/1mh+rrJiGZZetRxgEjntAATGJuYC4k+P
A8oubR9sdifwjIYb6l2sq1BdVl2+Gjp/xhSszrKvHehr8kXzFHw2Hsmu9WZeZC5ZBdbUr+akgUlg
gj3CsFMwFXPXjtLY6Xr2kNXqciD2OqrAUCpM9ayJ2RIWdyerQV0i3BayK8V1IQZ/YZH2YwzzFvx1
Ao5NWwROYxkSFtptYTeNpGzQC7P3V7B3FjOtgloaQa9nJvSyvubc4AsDLkZeFGXxWUXo3k7rGJxm
8QGx6ksYBZ4EB6iD+ABMjZhlCCwIOGoW/4Y93i0KUcxBv2/gQmiZcv1UegNELkPUuGmAh6s0Cm3X
y/Ib2PMuWwLvtVlwXgmIvFRN4eDM0DOR1E8ejTKwovkTDtLrMBSl4xle5FSNd4kyWkvi98EcAqKN
63cVkV5Yx5tVljset68CZsIqy1QqDQUhhdpf9jZ4RAzspOEFsjXS+14PwUIZ4deIZY92yxwcJMkC
wrML4BGAgdfcI+D1Tt7k7Gww2GlWBbAVpyRyYqBGjkJD71ADlddiIK7fJ98jM9IOT9rrjnlA2g3/
wsQqcUSVfYfYjj+DE1xfWm2gmZEnNoxEV1Fg2zLzjc9mXnu3BU8vwZqXwrskTbAIFLENJ64DfmpW
kcivdBzrgMpCmb4vIT7RDDMTiTy4+D8e/ZzW2FzU/cfvbH0rrbE5VfPcKGqXSj/f8P0zr0FPzE1J
3+aCJDi8g4Cq/qTScMzSFmBEMYeAA8WbTlU/8xr4BEgu8Gto9w4N/U0BLPtnXmNz+SHUjglhAgW3
kU3fQqXhSr0Rld6wcQsqEjGDuhboUbt5/7e8Bji3QRnAHn4JLm4SOHaUV37l1NSOzhKVtJnloGZg
EKknZmZ1bpD2w32tPdgOU/8C1yGDSZk6uMod38y/QqweoZsWlRA+CZs+y2XZpOI60dVw5uM6Vqd5
1VsPcGeJYZ+i0iwM2LuM6jrxsHcW9RS4kRXB3nOvmIjJ+eAPcfkoIFTRXhYYkha3QJYXDU3jtdfk
ytWpAlNTE16HCzPkCAIqXDV3Vd5XpyQGfiiHIYiGmWf29deBMIjcszwwz61aeOdFnofCSdM2mAWd
yJ0iL6pZbfbq3K56cuF5ECyTofAEVBGmgZAk99phwQiFOH0a1DeBZa/6Pv3KIv8xpCSZQb1B4mTU
XmdVsqZCo0o2SU6e2gqiKeDMW7nfnqaDac+ryKi/ttSnsrFMpZw2qhEE4dpQVqrin5ChMldErQdx
G9osS5xapwHYoQsjspJlhAp2xfK6Ox2yLF8Qu9FO0QwV5D9SCEjwDEL7UDYMqQvvEsDNXFpxB/iy
5/IqOee10I7tFeyyt+3hNCIQ9FCWiCURAcQ68kQW/maL7XkIV0PWqWRp5GZcrDkJjAVvhmWMxDUO
FV1AMLKSRplE0vcg8lqS7jMJiOdG7dBA2M9eaCQ6uCG1c6qgaK8i3FWOGQSdI2K7cws46jILjcy6
Nv0oujdaG9+llKbr0CTFWZKr9FPYkMKBqPZT2jfh+f9ZrWerZYKFed1qweOu1rsWayP0m/MPTU43
/R3MTYtjCqXIPy0W1DKakG0HX14wvGWxNmWQQCAh0wqV6tA4gsKhhZ8Wa1MtZcM1n9D6B0NrVTBm
P43qVpAGktB7MrH4OdP630ws2EXozwpRCQ7agc2CSMC2xWqyrrRTP8DXZUdMZ+ia07YnuYsgCgAO
aD6H1A640VX/iVkDdkufPIJTe1GJPnJt00vmYeeRRVUAh2i1KVMzvTRCs5Aclrvblc1VB8FAF9KR
2tG6/taL9Eug/FmfxHcRCRdpX51Z2LrLM0h5hHkP8cbMKsFjtS7SJIJt2mAfygjWWCwSoH6t92HQ
4ScIvTKpNdB92iXXto+vUUtnItdnLM5PI8iVng6NVzh1ZHGnCbqFD1bL4tl3kgWQhfLtsxSiZhDk
+sZVL0U5fOzKREswBxC3B4spwf6kLs48x+x07bAs+Nii+mvUNcQJomBp1TqVELArZBJgSEg1Veqo
DF9FSX4WRwQ8uKL4njcBkp2hId8b82sF2VZIOeXXod1kZ11SQXpNeb7LEh3JKCh8R5i+d1VSbbqB
qAfIhZLhO7ea6Koh7HFQ8HAzLwluLa83ZVAW66AyxWWo41NbGODIWlm/CNKSX5eqA+PJWkCtDiCI
4Fe+EyXgboR+GsgGPKiFajpf0qKxIUrP/FvTxwhyGaEvcx880iTdeDxtq6VKMPCmPg6XGHfxzFDK
WoRBPDh4IBLTzoYpoPUy8Tzkoq43FzEp1Ry2Nm9OWshRFUllLSqNk1mKwwuU5udDFYJvik6r3h9c
lfDv3gDxyJAlZGaUCrt9Delc5LF+EdV+PDPDgMODQP2MFblYVCGFjRDM8UKApyQTv4DstULqDpJc
fFFndjD7H/bOrDluHPvynwgRJLjilWTuUmq1vLwwJNkmuABcQAAEP/0curq6Xa7u+k9FzDx0zDx0
RXRYSmUmQeDec37nEpxhgyq+LAsDMQLabUAesMWGmVjxSccljuHtevE+rcicN86mmeurYUeE9rO2
betzpJQ9QHJ6dlTda+3JHSepg0Iz4NFyCmo2j6PMjSw8D0wFWeW7OnPr9hXVVH6xKmo+SF77mdrE
IbfJRHSBe91t0lGUooblm5xU43uHTU70MbXQa7kNrS4SKFDtJkV5myhlKkGO3tzsddTtylIyiCcx
jO9NzEIVIrI0hAdLGkhd0yZ6xZv8tUKIaqCHxVa0O/VDI+tod20xMeqIYuT7LNe32Td8Pw8+3F7W
Tbe1vwR5sMRFN40xDHdb3sQkMQeY2eEjhU5Xs36G2/pDveM/lLwamp7Fu0pW0mYlb1Bup3w8kNo9
+8T6+4VXce5BHZSbTGg3wZBBOey0ctmQQNUGwLCrN3mRhN6xht5oVDPnquLPYmzOSSPvbaJyQpJb
FX0pE3rRfWw+ubb7ZuP5ZgkJyeTkN0Vqtb3RKpFHxma49lON07P1bij+GkdfY0z4fYRPm/trd+tZ
aHOGJS9rim6nbtY0m5X4qhJVZaUQp75xDwgM3ugIbUPPTVBIkfaHtt6wBsOjAjb6kpkaHu6EH5eK
DnmigmjvHC6hP4o7Taqnbim/eL3+PITYHiD8mCJpp0tt/deljeOdaoMqN6qv9j6IFh/axNiG06Yt
0M1hgVipzK1K7UfUjF6RkPCeLZvKLxJ5gvmPn5y9JtNtZ/Jh7i+68Y5damQOzGLfeP14VzMII03X
eBlZWAFL6JtCL5dFpi5KTuPPbakFDGy53Eo6v/dhcpI6+tSVIjrVws+aaX1bfDNlul+O+NDdnlMA
DMJfiy5OrrzBLsN6klEYrC0jkPx6/0jG+OjsWDS0btDy2QewQTcoGIO8rLu3OWXHRAZXvxoOJBwP
leUFrimsKh//P3rlKWo2Vevvqk7uOyhZ6PfdaRYh3+mky0nYPpSiJDgLoCAE7sLn7kEwUvg1f+7a
asdjqLAavrkW9XNXo9ym4H5kqZJMOBiHKZyiDiWjQtPMaB5Q+Hxauk2cJe6gUqrS+1pA8qli+ejV
07T7/7XRj9oIENhf1Ebb6Hz559po+6V/1kYIaIUJHk6f4snk4QaV/as2gjGCRorGuOO22Wj4p9+7
uRQPYdyeoorkPgoh72djBJN2ttQuA0YX4yGN+Ke/URvRbQTmT5TaVhulKMFiRMS3d4EX/GNtlKJj
jGPirXeB4C8jtNm8Q4uSyWFEgbSKfTrGB9/2wLhIbhb2InpXZZ6G5iZY/Nyk4W3QzyfRNLvRpKUq
kkRItqu5HT7Adfd3PfUeKiKn02zrihXg2sgb7eCtQDgLDL8kpRHoQaRXZnGXNEcFUWsndANISg5B
0ev4ybZooFLj7lgEH2KRQTHwtc3GpX92jrz0kfwQ9JHOPOicuTfZU0zcHa/TM54yXDiu3ieAZdC5
AGw03uPQ0Hu4+S/UKFnwOYC4NLe3ZpjaXJfyu5vWJuPU35dhUhV0EsEuosvdDNxr7JqliEygC9fz
r6MVazF7pcrZku4qb7b50HN/32LgIewOErqTXXrwI7a6+Br+d1vl2gdwoZPc83mSG8HB9VBzmczw
kXvsMwmTHoJa8ND2ajdH4qWt1zWbmvXDDAjJaH+4+iUMhaH/jqkehZnqRwY3NzOBuBkqcfKFe2mV
vpDefPemyBUecQmYm0BDIIYoR0g7Z0HXHkdFBohRMZTknhYlNr88Gnh6R93g8tWNLZRh22W8t/nM
pqboGxgFwnNkl0LczuUC0Sr2knfuqrMMfHeYS+zFavFzmdITi4Oj1tNd2U1o873a3fJxGge4JxA/
D3PU4QCLOnEK5ilXKoKC2Yos6KHEcgld1SvfWgBLbbeQLNRL0cjltYpRQeI18x4+F5R9m1kOlI4H
5NWbqgbNLCwFvw1yX7Fvrm3TW8gqZof9UO+p5vFNZwPANHJ64qoMr3QW/cWnFZCnhDXFOukjN8sK
wAMwUWeSIhXCP0hSz/sO6/8K//yAY+pERvXiRdHR0/TFmtnPK668YlbUvwYDbW4G2Q9ZBWZ1xyOx
wklscIYvTZgHYFtATfjedVgC+lDTPjnWrTmwcMChUp0F6B/QdfQ1DeKoaKWr7/CIdEB0Ubh3qdjr
WdkCVVgHekC+OdXvqak/9RXJcBS2u4rjejad6+7Q/KDuEoefNrV/00Fte8C/+qffSNYgivCIXxC1
eDj3L/3TECym7Qjz7zrxoQ2/RlFhxelv/wk8RiMOQg97JCYQ/eLPuqFaFBSC8A5Gk27v3fAs2f+T
quPPp02ELfunr/lPHPXPSPpvOPtGJv/2W7+fTz4eRrY9i8qLKbpt6Io/nU8Y6ghN0YP/gTMCyPw/
z6cQXb2/DeX1No6e/rD7f+/dN7URL4huO0VqecOe/8b55G+Q9L+WHo4n3C0UDwyPMZcMgMGvx9O8
Bv0war1cpQ3YztgSe2YfNEmbt4k1DyCU3blZjGx3ntfOn+c+NFiiChabYnL8+NO392/ugz9TBDgo
fwAJGBge4uD+BekOpRtaxrW50lH6V3TcaH100oNeW8zcs8zYUH9OzEDgZIsUCufYTPDUyxXgC9S6
RH5l8+zd4TU4MJau8z+sEUn9g4uj8pvviL/s//od01/FWnx/IUbsgnrY6oiUAtn4WawFUslxbd18
DZaoqop4WbsPBnPegv2cOODoxi3oMUDmpqC+463Pa73gIMzk/AI0zvyVL0r5eU2GqFBz3ZtsFhyk
cTJFKEurvuH3rWZnoRjH2Q+a40Xx8dJ2FvZ3Dbf9Fq6e+Z/2oz/BHCBDMDIYZAjQf4hKvyjQiSOV
JUMHaGsu2UtfYbPPwpZiaQygiO/tMrEnQMjdp7/+Mv+4DUKL9zcdKQkYxVrEf7a39ZPwHXlLFQ6q
kleZrv7Vb7m+SgW5MS35y1//Jej4f1j1219i2AUTPM4T6aT0l3U2yNCt48T7azp44eto+6k7lHPq
aNYOfAcrZ9MnPJf2eQMUWfxPi2ZbFD/fdPiU2IFBngTQyrA7/PLnwePUvJKihmbcRq+i0dFr223v
IVqF2sUT+Abn4dIfLFoZiu6uT77NHVMnyyCDL3EweXlgm74FiS/Fh2AaQBHz1LlvAzGQM8gqkjxi
fTgdoyBedfbX357/5wsFnAjbBigQUEcQ0f94obxYRzKKSnLr61K81tOM7tdH8YOWOEBxW50tr9u3
KmVA89aR7+M+XOqc+ib5PqN174HCVkke9o35Vk9B8tWgOkrOf/0mw+hPF/mHjwLuaau7cXdulflP
yyme0tqbUIDeNuE4lCwtZsbXwzIvAdvPRut8WkbvwQiH0pbDgc/Bjh8UnQAbhDBZ2m4Uj0MXiSVL
Olt9BJHcn5ya52yIxuFDrNq0KEeJSES/5RXqOWgsPEwlr3Yg6m4ka7CrKp+hm11LKXJqOIj8eO4e
aVPdV0Del6zTyXidy/F5poIERQxQM/NrR7E3hBq1qWfT5qbjUfq59HR45jH60BUUOsutx0MoDJ2r
TySdHKgYl66FbyOkOZrlfVDj/KQ9ksApFXOyL9WoT2FJ6fPIfdseyoSABoITU76hS4KXVMuRfNEi
EfBcFT1B7BlO/si6r7UZoBgNgWifalYuSWbGsDpP5aRzGLLDwQ8pu0OtvuxCO41730fnv+uixIdE
Yat0hG/Ny51QwVToAex0SSqv8P1+PuKoQQkmQSpn6Zx0nxbh8Qud2PAUBXN00KwhdK9isb6mcT/t
AO006960abUny+K9UtXZ76oahihf6Qx9QVbUVPtlbnrcHNbuXGV0up/6khdw08RR4kcBeIRTjy9a
mCRrFCIceQLiJkv6aFkBgXcljDMixWGKUfaF2nkPNvDDolaT1yHxEY4zOF7L1GEJkuUmbte1Kx+0
HWchMtSPTk5fOTQSun5WliDwAqJnwlbev1NQajOEXj1rPXjXuZ1Fu5xZPa4Hw/RcnsRUA+9v0Ls9
eQkJTg0ACZ1rXIMSWqEH32blAhkLWZY4D+euteMubm3l5VM3++UdH7046Y+tS6CNuKVj802s5gAr
ypa9r2yucRbuY8Kb8s7g1olBVaRDigUXtErsZVdPLOtGHF7lbgExnpMSMUDolKUnQxhPkLdyqMq2
3Nsu6cROlagK9tD9BZrHNcKOKUHh61zwiYBGUq5S96omQux6ZAG+E22S2iu8ns6HGvZgeo1IWZXo
b5I5iRo0PQo0N3gI7G58N0CdF7tSmXXcs0nJeu86RCCOnlJiyCPqOiRJFsDsh6kea5LjstKPZBAr
kiJB3IoC//PIHSQsovCVSzhXQjD0RBObu13L5/hx1XMQ7BvSU//CLYcAmCWc8vlQol+UTziMg3NT
rRQi+4B3sOshOK671F9WlqeNG+ytSB2WNsGtMgG88vV5QpHfFRVYbgix0uBy1olCfSLXJli/dW3A
4iLFGxBF4AQH+ebV4bGqE+CPcAzGoKj7uixWXcK1AOQ7sPumtFt7U4/NmomhWcnFK7tw7w9lFeHt
smRAfIWv/QlysQV2xkKOwAl+LvNZzSSWTxWM+WJrsoLrqcmXCU+Kd2hrcB/Rq7/Keq2z1IQkeHad
pfoaD8z1hWTjfBtpiSOpUkmLX2AiwLdV1tyXn1e/k/w8wn9Z9spGa33x4VA/hw3s12iBzpalPhbv
XsslCXYKaQO8ee03ogCsCMQ6BTQDxX38DJgblUVTNeZJIX/1Nkw8OJrEViUaYZjxgE9KvE7U9c2y
l5Pxr+syBOGDmiP/2Z8JfsLGRKX5jAzPsjNUNPVxWiiFqZtUit7VJGEv0hu3xdk0ozokneLqfnEh
DFhvtLg23Eq8sR5kmX/BCcZekG3E6hbYJacCD7dZ+tMMnoPeN5Nu20eaShaelrCxGo31vBWf3C33
UUviZddbgT8NUwlu60LFvB68Ntk+/PbWLfYnvK9B+NcwAjX2oMcIXxWYNLT8rDW4dYauausHOSW4
5SeNqqDCv2FPpbPkd6MfuklmAUBNXG47LfpWED7ATfD0uOwXPAIi2GIJdNs0cDPl+ETYQBbmb3Xy
LMVLSQN2Tk1dpxnyKC3WhaviV4tsIprjqXGPCGd46lKhzG0uPWDD5inFaXFQ0vOvI6vGz5htG48Z
B7BJz31aMX0peV+Zwk0Jgk5r4oLDgFhSi6jS6N7bro3uF628/jh6zrQfbSwqBauHiO9uZdseUo8d
L9AHpMEOaCBX+yEW7CPZTEGQDtWYJSG2OTdZ/lj3s7owsbFHEZ1ohW0vCnEcccpepoaYatdRidtk
JWXATqHs/fGbwIbszqmPJbWz2469ayKCb3Qxq9nhkLHjxZ8g9eYl62aDkzYwHkrvsfkyMcOeCWh9
/7wyiFNfZyWdgobtJ+ZUW4qXWoTP1zy0VVydBlwWm5OWxfu1N2a+BfHVPTVGAUVM1DEUC4yy1ca4
OK3nqxV8bNv3tzJewhsye2G/46MU5lI5oFR5GinBn1GJqK8ek9hGsHXCq0Ks1KqMWQMgWJZufOqq
0a8/+f0apAahGsTUPgxzQBheTJXTjiekrc6kHOwbrzxiQD2puD3VzPMfFkXK9TBp0LW7etVYpDWd
m+B+abs1usIk6jqgj8aLb0Ofh0vuUN2oneUDrppNZV1l05oI7B1KdcgYBQto4I6m02FNR6z+Nlyq
pHDwGQF9DSoeP9rI+c8Nn7DWcNKxF6x1oe4lkz42WIrg6z4VPLagoj/TVNt0s9JM8iGicrSFjao5
vA1L2BSPY6nYhMMdK3o31AGuJhoHt9zUwdz2N8k08OCeLl4Xn4DFMnyuZSHVbTuRwRZCldgzUI3p
+baDX4E2krXVXvG05YVdPO/kxhD3vYOhXmdhyZPbH1XpP4Lg/2hxf4sx/5xE+DmY8L+TcLit36de
9d/nXyMOf3ih/74cxKaz/2cS4rE23yZVf/32swbzW559+8WfFJUw2GauQh2J0wTNye8wBPAt9OJ4
giiaO3SQHnS03wV/PBR8IyTQ7sUMrNYmw/wuqAQY0hwhuODFfoS5UH8vCcH+1Buhp6MxzAhAF5B+
t8kWP3cdnEoTGR3Q26kfxyG5IR1B8C/D3BMlvIKFTXvHNA1apJxK2Ke11eved85HqHOuo7u087o7
3Y8EdftCThFOilvdEldYquRFlEw8uUDaO72Ew8025PwdR689U2Hbp9C30wVdFc79eUm+lRTVRR+m
5d5vJoC0yTj3X7gHDSEjhrXFZAcgRt2hpb4tVgD1b8bE/ncS1OsjVXGtc8YlAFCH/BKe44lodzwW
C0VaLfIakdc8ae+F0OUzbRiQiIF0/MlrIFuoQ5f44woYipdjBossDZbCT3D+4Q9qz2iaGahhE8pU
m/buFcIKkOXJT62X9RMNi3KNjXeN46HZiQi1zwfSrJHIRtMmSb7gCJpAR6CEgiPpxi+t1sEpNGLe
rYBnigTc1TRg158HOCwy4oVnJhZdzBBMrwiFxhTEhQOYyjy0rWREmjF3tQwCCMiqOTkOlqboEStZ
fWWSIzWRX/RJ8z43HT8PcRmst1Ezzqf0B9i2boybmyK5BjnHwkRVyHDokN8U4v/T+8Z/346w0Zf/
eUc4oRr982aw/c4/N4MIo/3Q44M7gnIEAPOn3SBFxAkZWxRs/4Cc/rkbYHhvHG7yVoKqlaVbZOr3
3SDCTPcYTxhH2OoHy0n/lrwa/yr1gBRFA725kHgXAWirP24HAe8GvzLJfBVtzPd939XF0oswBf9O
UYSgQ2Acy30XcuNxuWtNa3eRP1MYewF10uYh0tDdBWttdJjEAA80QsrIRlOU+Us8wlWPULUccHcJ
eHdh2NXqAWBiY2iB/q2XX9Yp1uF9ojWbJATEwYSXJYqsWpBkHBv1ittlgtIwx2WivHxZJsNUBrpj
OjRqYLCWPH6qAGAhPmnDD2MPXD8F4DPqHk1K2KJ2Rm7UXDCY1+1pWstrghD0o4/O9M2DSDScTMOr
N2CDy75Tnrip47ZHpqAvrw2B+2JIw49xiFEByGwE7gHDZcqT0r29bWVir35j5mIqh++9TRUoSkqn
V1j9Ku/mELUULyNwmBig8EztKIAyyug9XTt2MLyzN6CWMCFhrREeCYPHdPW63RKgpuy0t4So7WHm
R/NMTkHsuevkTc2+1Y1C8sAfhgyNpm+zwA/ecJnm44j0JUKnA/MLxjj9EqzDes/XtUH4nWr6Bk08
uqCaqk6ubdSnIFJB4WM7upcDq4o1FfpO6/YdX6k8jdDkn3xVe13eeF56GyJmmkUILFydaCuA6BFS
MLVSBwa2ZtesLL2uYx0dxSibnDkx5Tyo3Dsi9d1NZEv1okWv94o1MlekprdI0nWIyHDV7h3yFFgo
Y/zgtz3Z12Ok7oM6GIpZe/0FD6owF6XaM5Im6w7jC9L9GLnluw15d0wHUZ2Xvg7x3pqE3NZl7AFA
Vh0oPIfqcJ51fDO6VB6GChhKiKRptkQT5lCslJXnbiLxi2bkY+9xekNJOtzh7Zd70orwVvU03M/T
5N25lS/nLrXNqaql2fVkbm5DNbhHPqW2MGqr/mu97Cqzlns1KlUV/1cqsv++nXWbhPefd9Y9mB35
b/bWH/PzXv8xAAiURIyHxqUYnfrL3ooBQAxSPQ0xcQ8/sZVTv1daQOixCwESDX7wGFtS9V97K2oy
IO1RAvkbD8P5W9hp8iNT+rOMjkdJA+2IMULMB7UfbQ/Z+LnUarHjsWUuk2u5qHM1j0bezpa6OG+E
GQaoGLVeD0iCKWhSolpeesY9h3kHckurNPzzEqgnyDCu4EoiDjTrw4ixI+1agcTyJC16v8MkHta8
YeASBtLICKNqiELvhQ4J4C3Sch35jJ7/EZjpR6t7v32YwXk+AQE8MrtkMilBG0GAqryaXBH8TC1q
mBFII6k+Y6wHvy9LXsf3vHPJfSSxwaGbLMFSxLqb+wKzETz5HEML3JcT43YHAKCcISwrXr/oUCjo
rK392FLGAdW2/bHmTeOO1JtuIRqdrY4eowo5/jKRL97aPesQpFjPh3ds0wLbg36DQlHnE2YN4LFy
b3xrnicSIkJFP8bL8qJ5HUFJJTcEg1KICDEIo1boihDrL1JngSdKxM2R3twybmku4vYLraKnNrUI
+8DOcqT+iucWPgsdfvNCUCdK4EuJ0vkhCRAMgow9Hi1eH+NahvaL23bm1tZHb2W2GEdk1USXPo+d
T/e9xKwECWEWo4HokWNbl5gsUghbnwIOliESYHkhm6yZ8lq5owiv7VrPnQENPJRUi3wNOMSkkB77
1vk5TVtY/26hJ2d8KG3a++ohGJhqhck0ZVTu2kRhOg17rXh/QelxUQECjnUKYjBY2ROiQQalsdov
JfkasXXfectpKIdrNUEpBzNcDBMGUQiJiT4KR9fckymLawQeNRHvlrOlME5+wpKeM8pQYsYhSF4s
r4fQH7dBRf11jkA2hGt5DxX3Iap6jNrgPibuEAyr6qDpe8uEiF5k1MYVFzzqP+mGIo1ZzecZV3AG
loGwFGJxEYYExN7Y71YZngQQn2WMPvpqvrK5fm5mOEi1p15ExR83UacYPH3wq5icmhjAB4qAR5eU
z4AeH9ZR4xbxkYJwEBozVteu8KfyXpfr0WF0wClYyPs0ElTb4dAeXFRizJXPutxqxEyrSB1SJF0K
aFjruR+Su2arF/oUI40GLYNcmG4GpGtvotb/2nX1udaYq4Rm8TZuBsRnveSCyf/+wWM4eVw15j5u
gCL0m1eMr7A45uY7NoWfDOFejlvdZI0Tcc518F04BC/aoX/U65DPOjmu+GayJNnkfom05tyaD9Su
8khCrM6yGmymuvpb5+h60EnyKbLRE4iK5WT6FonhiZ5S9J4FmpobbgBNx+EIKVGE4d6OzV1dxUVM
2kfRYc4Ux9q2HMOTbIOEuWD3tJLjPu5mdbCDDYpxwmieUcbP1t+GMU3e95KGX7ygewebdhpt4GH0
CmYHlYR+w6iRF9UkLBdCvAg70x1l+sk5TP6pY/G5d+ElwpSyyGQQpVV4TsIlfgiadEjgXXjocPj4
FliwPTRCS0Yw8UhH421MFnRNLaZbmfVtCujnEdmoI/Pkkg0suV+1kYio8LQIJ0DPcRggIcvde+lK
dfKS+YnLGVTk4HUYdNI7WPVtg702+IKZHU+zgMZqoayAUi1tAfW0KZphkLmsvavRAzLaUfDNrA7Q
WhTfNg01hUHa9di2EpODSIimGe4HuCgLGD6078TgTvZVGBy90kbXeolq2AzjUqSE8iKg46OVsTq7
NJl3PvS9tpYLrlONlGjgijpCkNk1fLjFzKSTE+UXIZelEAQxIaS+qgy2YJcPU/MeJzIBJ9+su0iW
+yoM3DGW03jqh3DfYopJwZO426fpKjLsh+sB03i+TGkEgZqASy0PeAw7Rw0OByXqUdg5hbaWzYLt
F4J2Oo5c+RBLiiTs6J8gz980SV3tZ9GkBzWaqrAgP/LSOHfmWn9FTBhRc6h6Z4qxG8DIVr1rl0oe
uZTrh9UKXBvryD7axpsRietaQQVHXWtOkHUxJstP17yLoCx27Fyy9ULqVaD2HaZ92a4PkOOQG0ue
UpLEN6saIe5qDF/Rxt0Pmj9LujociH63R/NcZ5qTCY74/B6PAuh8HKaHJUWYyPkIqKUU49/8jt/P
NarecvWKtq/NYRjWSzCXN2UXFC3GC5gJ4xaCZvQwZsQCpkqmK4ua91SKt06VCCclDKQiuJOiI9G5
D1K3K+PK5NWKNLrn2Rdft699S+67qX5qKwT2t+et7ZrJR64yHL51a/K9Eh7KyyBUxVSHeElQ9YXt
vM8D7KjM6PpaMt3vgfmbwo4TZgWV7UWmAuMqlqZ6GXlX1Lb8HEMQzShuXbhd3xFD+BwFyD/z+ToY
LOVwFu/oPtgORgvi3qJ70X1aYxZajSlahDys3uAVpEOwd4hKBE3aSzehEglxpmIMBjYw3/+2pOqY
6PImRf19AMh3BuHPirHFzJlIfhRuumLWA8LwDubiBB8IF/Q8Kv8Cuu8rGdLvdiFIuQMehXmL4UbN
t5SYPZqn+aBgDKkB/4q06ovXeHCNL6LBVB2NFKxqX5lu3qAm5wOGRIDXTk4IkmyrJq0A6U3nVdl9
B1sK6Q2gNs2gLsuK9VyXdNpTGn4LMLovo1HyVDcVfhgbuBEgpKetBfX6KgfzUB9QuX1BBXaql34/
otLJgjk+r1Evcj3Ud/GI8XXMfvQDvPiw9HApm0trY34IxPweVuxjhdlb+SDGq4e5gVsRA54VMKis
DhHHoC6XBtelrT9MFsHsQWEIFEEkeajZjaMlKwJMIdIEI+CSJvLzNRQH0OhrYWizi32LQVzBkGZK
iGqPCA1UrhUaVTC5J2FGfLQUvQhH3QlctN4RGWzVw3RKAn62rvnO/ajeVza9c35z6NeDgppG08Pk
ZOEvNylpn3lnMFUghEWPHOqhadDoO8xQ64P1LUjtPrbVWxrXN+hhJ5QcHsfFGl/7nm6+kYXDMUCz
uuD2ea7cAo1gTl/8ASMCYvCrChM8jkHVHSlyO2ZuizINhgcZT9uEOFnHdofUsU8+ctP3aOgpEJpz
u+AjBxAbTWr2fWeIewAS9UVi7hApwrJHKnpNbA1zsj33FvjR0sLD9QjkfFYhBITWkSTNUMgWc+Hq
sC9C0eqiNP0nkPHrTqZmBOlU+bBgGuAo8smiOd2rAMmJZvoISCoCRu/jk4L4ZBE78SR8HeRyv9Qw
mHkytDmvZwHkDHdI24ZjFlnjZ6BnFxwnGLDZejjYkGaMcf22a4faXDMHFJTfjJOPEXNDWCxzcjUz
hvjp5AZpNZZJ1bz6zCGNHd4g6Y3qph/ecLYgrYXZBq1MP6i6Ds/ohL8hKi4Pa+PFmTPpMTT6fsQM
KhR54EXQSmSoa2wRl/LrZMUxiDnJEVpa96OKb8IRQEdrdnLGvKhI9PaIffeG2eCQuAiHHbJAR21w
RzcUfzBCkB8BT5UphOkntWKO0tDAM0O1y/z2SzvWmCh61w4tdgCXwbI6RRMSQiw1V6LkCGwcydyo
+YrcGVIqvsutq6995V0j5vadNNeQ3sXz/2LvzJbjNrIt+kVwAIn5sasKNZLFWRxeEBRJJeYxMX79
XaBatlpud4Sfr/1oiRKpqkqcPHvvtXMsJ/WmaTR57PXyEZPAQUXxs3LVQ+WXzSqZ9QCpZnTcu1G2
a+be81SLl7gy9n6rcTLm8jBP7nwgkf/CN/gQxZqzcZkFg0hV8YlT4cXKy/4xn7H4lnVyGpExYd5g
vWCTcDn0cDpqx3hCQHodk/RmGIrXtPIaUiuEYif/ObNLBJvoMccp9N2d9P99VWphY/pfF/p/ZSCx
3l9/3ZZ+/7If29KlfhSvJ5Amns2W+bN2QpCUS75nsaUE9fvJ7f3jRk+y3Tcxeln0IsEZ/eNGzyLV
tkzcYCxhyUyIv7ct/bP/c8mkIuDQ32Et+YxfjHHeKGu/86LuKoH5cvQy37psivHkFVm9trvmi8Nd
Ahpdui9KN5s/orKttZtuAnBZc5PFm5Hd+BH4GJVON0pax5JI5nZhmsJJmTBVpoa2gz1kcYmNtjLt
owPOHX0tK0CfaKuSj3xfF9vcrTKGa1k9M+0yVrEvXrnYJ5J1JZit+1GbjzbnVxSuJ2+Kj12Wbnjo
aHuwot+kX8z4OfXFkA6lMzJSn9Sa7L9UvuedBPvPS88sME7Fd1VnRlXgwZXbVoYXkzjQyGv1iwXf
JCjLPUiswCyjtQKKSV3C8LU01rYSamuP1Rk6yhJOKP1tnzF7aaHizI2KYd8M7dloW3+tivq5GeQF
d7Zg2X2IVlzqljwNM3dTlZCmj9GRV4nHpN61XVDwChMd1xRZSSW/hUPpvExz0ofsBbk1YSjD6xO1
HBNNdxul5p2X6EV3gMCpqZuYcOberqt1UUfOnkViW9w5SvcbZsrQ7VemS8rXNAYoiHZofyNENhyW
PrddV6TpZs6L6ylpz45VHYssOte6OHlK25btcNRyB0UGnbaGK5PAEYur96EQt7Hyn//ZBnIdtfXF
2P3X28C7fxfG/Xp6fP+6n08PSnNY7NFTznTHZu+H8iooMIcJT5bJX8TVn4Dgi5UdSzf+9z9c7v/e
B5JQ/8SAe75l6awFffdvaS2fhs7/2AdaAo83IXlUXIdvBZno532gEfIWThunvB4b3d0WvTXwObdw
RljDPnLhUHKp4jbAOuOKH0I/4fMBVOTgvzpknl4+xXnYXuLJJ+NnmvVd0jnW3sa/ch7SsHqvVJjj
H+rjiyjjUfiZ2l1XvsbtNDe08brlinBVYxF81nRHbY0Q0XlNqjkDRx4W51RW/runRbdY80AkGYZ2
FGwI8Es4+QPWY/uZYExzNwgbY1EbuYe0K0r8L53GBdqeyi9mpysSOa34IIuVPdmw6fbsVbg9V2H7
2iOH8xH3Yj65PojMBCm4i/rqZkiKIOuYu2Qsq00/GFZ/FWmF1b+VnHfWyeCqNo1bVkGsfsDraR/M
3kl0jqysq1eYLYrmyl3OVFcaY3QXJRAxicxibJmVydB49khwOitdWtFoMVsOHka6rK8GDZuOzOKT
o4E9XkEFmb6iStXctgcfKkg4PjtDZr5OgIo4Yken2Epi0cepc6Y7OADzK2Y6O10YTvpJDilMDGn4
u7Dq5VfeSTGz7jy/hm00fzjx+NRo9baQ8VFzy3aTGw7sTrup9pg+JEO80REGR984SUNNF2k5Vhtb
+em4GvOSQTceZLxtcwV4ru5z3K5p/WhBbzpkvvFgpnW0rzSwvZE+9OwvG7V3ktbBG1XlB6Up/6HS
CTEBLNE3uVj47kLZ5X2I2vXR9pn/VXMH7Ujyj60CqAEEY23TqH7c9ZrWjgEe71ptxjCuvrla2R6m
KixucUS1B1ufnRc5Gy4wbzd5GKHOXbiJlVy2KHdwwNwShpU7XbTpXD7P3aidePPKNWhXNrCyCZ9Y
UQwPBQDUgLtPfKfFY3Ud9VmzLnjaZ5vCsnom0dYyyA77kWLBbLcb2YCYXkt2Mmjf4sN3AM1k5tEd
B5NLQ4NhVC8d44NhmgGY7SG0hdZZKaTJfwa5f5tZkJv/x1kMxWj10RSvzXv83xSahRf040T+DBct
Qorv2eYneej3ExkvDDhQDmpCDu7i/ftDobH5FV5gLPEEwoCJMlf+UGjM31jDAgt1qcpDVv+bKCOx
zGs/n8iEG5YYrQsZFLumqf8yz/mjraGYmtFZw25KtBOPhjdP5sFZfBv9p4VD1eiArDg0rB0EfrB5
hEPdJg9TkiaB/2kEKRZPSAFsDkC2s3hFxk/bSPfdQyLHesZRArk6wV9Sf3ebkHrAepJ+2lB4PDV4
UtSnQcVTalg1UCwTaOwuFz6ARsl9zp34wVIyEesM4eAOsCDeMAGJaVtVWUA/QtbupwgnXmZ37pfC
6FmtTIliqMt9QGome7lpbQGRJGvOlLJO2S5cm2lfPZvQCJ41u4KTgRMTt3WfhVcQPqW3yjz4cizd
PEzT4ZzLtRc74dovxaGQer7OzaS7xMKfn12n6G/BIEQBW1RhrWPMxfsOqQI1oPagY0JiB1LmlxCB
m84hsODFtrtOjMy91QyPLfes8nifoZC85YKgQYQu1BbrSa/tRmw7FnBVuLLMLi0PXm+qnd3wgkCp
G7X+WcWNYWBMCPvAApeOSYGzYrEszN8NDNNgzrO/90kJGcFUNXLn6mq+aZs+eTH9or3x3dbdJhlB
HMAEVnSPsfPsm201XJca/5rXhSZ7PZDYRPO1DMuuPhAP7sIrLxbJc5q14n70OyZoZLEU7mihx9le
N7lv00zAmvYAqS8Zj7kbW8OHM3jywzd9d4e7O9xmccQzNPYFSowGOCLXGneDf6F9ikxWoGhpmr92
MAz9M0V+TpHc7/7HyXX50bx9vP95hly+6seJhXCsL+A1jissd5+c4N9nSOM3PH34cmzfNTBZYZX5
4wb6a3PM7yeW8xtZQQ4zjDzWdy7b34hDwlL65cTC+IOD0ELbplnQIbb5nzOkqYkBv3SaXhm6pZoj
MlmlQ4jNLe3RK4lEBvnnoq2rkxqvCpRWkR/mJt+Ph4MewiJiwx8R2UrY2OELZ5RghwcCrjnpI+i/
p1Am48pRRUolgyXW+FGviFMnGzsBTVQJO1vH6MmolFejBorfd8UrmAtWxk16qvT5GsMw4lXYfEFL
2FU2O6jOG7/M+vDuVO5tZZb8AVhT9nK0CbR75d5qfW7CybceYx1NBzlPaoN1eTWo9CGU+TXOGDQw
fVJrdoRXXhneDDmeFofEyV5yiGIM9/a9U2GaS4d96IhnqxpH1spTx9AAD6As6z4gR53sKzPPAr9x
PXSP0AnyOnrqYNeh7iAIyjRM2XXpxhYYZLbqNJOCjcFR0Z7EuNTxGgMTWAGhmzjJtWwfRXoVQHey
d61hZCe9LuQtQZERym/Dyskl/t2O+CVjj1y7NGLjPE3WsR4tcY1pEe2/5V7r1K4iIIKnJyoxa8N+
468WifcYkm/YF8KcwRcQfkIGBsI5pmF7TIymuAEQbZ68qkE8zf2plXwPRR0fLVdzjIOftozkAjm3
n1gofDVq09p0HXBOhv/LqO9WXeglG0XoPiqMBMrlvNXt/MZKfHgnn/wXs0k/srJ7rNv0otR1uUGS
2mUKJqlr25eNrzHhCd5IebyxaWYYo+JYieZZaOlFMsTlqhb5vcnlIUCag05cIyy6Zx4CnVpHClcm
UlcsAtPszeSc21EyXxq2ztUZb1laJc7atPrwkE7Roct5Do4hJKqRrUyQz/JtJiyyCkEyoQDiwi9h
Tq1sv8Ca0Nhv+CCalW1RGzAK1W7MaAw6QwGgmh5AeI6bSRX2BhRCsp6mylyFsAAUGKGNp9vlXpM8
U3VPBmPM70z4cyPDD9wJwzv7XS4Ntp+SJLL6HU/afqOP+tm1Bz1IG4Q+gsHtUdfViWG/XwM5EEGc
QRPUc/HijAYIoam8G9wxXvnT4K/DAnJLzaXBj5lLl/XWqnXdjzyU71lJTQyfrrVKJgXcP7nubNAV
Uy8CQ4cd0bUTkSWeKaui5Kbi8dbXDUtuCp2VyCa0FfYQ7bMiJ07cMj0WrSrv/3l+fD4/lgHwryff
f+Wv72Xz5+fH8lU/Pz+wHXF3/m7Q5Pz+6fkBn9PCD/TrAhMjKG5exk97ISz8R5re+03gR1qG5O+U
vL+1gmBT+uvjgyyxrxNjXph8HlD8/3x8lBWVSwi87ZWemfdgRu4EtsDcam/SETjd0FvRkcNuyA1r
n0xTssnTNNyGPT1UauxCClbgc7oTHC9CWre6BeYqqlChBks5q3Y2bpReE8X2+bMK/ILU21QcSLIR
qyrK7hoXLvtclB4dKuOlVuslHLYEZNzca2tttMMNJ2gCgAOScKMGhLUiv8cja1+6/VxcJEIocPui
ZgMIwlxk7o6nhyQeBqfEicCOzU1xHxVLz43GLVlv2kNdAWP2lIRJRZLLtfIP8r5fyEpqq0zY+9LU
7rQ5BQFTt5fzEouabdpRfI7F2u6mdVMOAeiaxLgwpPneR6+NCRFF7ssSrN2wGMWZ7Zdil5Tbajai
ss1tFVRT8jrMoEAgkL93uN8NhWvD1/mBGg62tvGuuU6guBWBNl90yjiOlvdiJ86h1BOLAwIqlu/a
F41sgDbxNLN6D+oBz7/UaTLcWl1geDoviem2KyVle3AbC/5KmN8KOVg3vha9oavdtIVHACozeeYa
kbEVdSk4ZXoecU7TBVVYKgxa4F3CdDBWje5diDg6TF1srZCBNolX3I4pPTH63BlBbRLZhm8+rWhL
GwOHAFUga9XfSaWDwDKQQzU6x8q42uEIOLape0/R0KuhyWKXT+lKwWlN+gjnuojSFWo9mijwE7Q8
sXZUTT8eP8vc1DvfhD2fhkahX1eWKu68sOYvhjRdpeXVbDVvcYmgLHrtmjf4q1/yuGmg/h2j1Hhq
6v6yIQO60eDGoZGbH+PQffTuNG1bxbBTt15Ih5D9NecjiuYtONnZd28JOdyxDGpPuacf+yR5rmb/
NNcGm9wy2pVYzGqeF5i3vAXpHRqrMg25pbXtWSUzH5/+PpLh1zpyvX1hEoRNtPwOn9ziB+YharIr
q5Xce3Z5ZJ9MZcTkwFVqi4Mj7Ycm0qMjcEUHgPp8x585XNQkNMjFlWWgpMMyZMlA9g1hVsNfXrzR
REh1QmdjhNZjWyaoVnPXsScpimMrupGHB/i2aIpxErfwnOaxLZ+kHi4VQFFzneBZBJtPVILkxNbr
8i84IxKg8TRQQE5ctQI7F3mxIgizpCMCl0LNnZQ4tDHI8jJxok0juoM+e/qh9qKDa4TZDpS9taod
c1pxLALCJzoF7W5Geyv2lqr3CfpcUnKRSRKFSpFpVGXYlloTkRxXkxW5G1+2G2Wx7yQYuQGZdp1I
f1W2/YMxJie76bBaTGffau56lxFmbvMdNnLWb9xMV0VqnPuxe4hBQVHnFV3nVneTyuGLl46XbT4/
Af2hqQFExyovky/E2I/WqO+ntr1X3tK80xU6WyM8A342XqRtHbh6U27zyWtXohkvwwYmUzFhzx6M
wBXVUXRgbqe2+2bZ4Qt7vytSLWfQBtd14tagqtqvYWizyk3npyxCH8WD5QXkOF/a3CXfNWE2UKK6
L9lvjhpOI7ZwDHghwFHWqIm9jy2nMHcsVUQQlaSw7bjc/PMI/3yE2//zCnjfZa/Nx58f4ctX/XiE
s5nyPQOd0RTwaRfA2u+PcCpHsQ4TJgK880uv6HLPgzWB21gHDUOc4o+l1RLZ8I0FtOZalJLC0fk7
V0Dv12f4EtlA5+R7YIHk+fqS8PqJGyHDmtsGjvrzTJkibWjdCxvRiDgiGwe9zwi7Zo+2QS/YVIbg
V7Cp28bQrpuiv87b8oB/SVu1HHfwKusNhvxT1CWXqOkDvoX4DozOe6/36RqKGAgCbcjX4SAuyxnO
c6gTys/b6opmrseB5S9q4xONZBN5XZ/qkQzKga9hOAVeGVBnFfHp4d4h8ZfGVfLF9oqXaiofeuK5
wEZpugod50tDVqkYi0eFFz8sQB86sNLM+LJPowtVxi9t6WFkw+1Hev0tY40T5PxgKxL2zk6I8tgZ
5TMK5cT2x+TAUVNKS+Swh439MImqCYifbS1rVhuRmMRVBsIhqea911Fvb7zMuWhVdj8UM6O9tAM7
9W4xxb3XrX8d29gfRb3g7mSignBAS6j6Jxy8b6Eqn8NaXLVl8QZyy4fC28igA9G6bzEDIaVgdm5X
ViJfMqH6oMq8ajM49KsOVfk2GP4lkTm1wUFFGv7zmmfhv4O336zRoS4UkYfaCi8KysZmSiG2Uzls
9WY4St/fS2HfTnP/LbaSDzdv7s1Y7gh9PeUS45y+CB68SL5OAGcY8GMKnaI1sSQs6J+5xNz7LUt8
Gv00fVfqob7umoTYsC4eLWnfWmqC+R2n95YU38gd94cpXr7c7rot67enHJhri0Ubl6ADlKyDt9mp
hL6j7LkkObgVVXcWkY0vNIVqWS/FkrqlLeVsW91lKGT/v6tVVAIwrfpVV/Gqgc8d1sJ2Np/273r2
ts4SLQnb6hSHsIbnJXLSJOGE52a+dTN7NxT2tquteo0B2eNP4spHPwgqClWGG0opMMEhaHBT4008
tbyGuaiIVzfzXSm5THeFt5Vhv4VYcjd75hHjs7lyBcVGbc1UJ5lZ8eClb6ocnwgSq5XrVF91A1tK
UYbrZli2C3q8J+SnrUst2uuFlmw0Ny3Wul7uHAjBYBO6datr/l5Fw7Qye+8jT+oLb4SeVLVJFQB5
4Nk/oXdjYA1kPj6UtX3EvBaveDfifTfV13apTtMX16C1RHlyLsAnC5/5ZiRoIA/Zp6s+xV+PW7zp
g+bTdc8/Aw58oVw5BE5sm1vn06MPORS/vqUqvPt+A2Jgzf7YvYYPj7t/quPo2qxH+QzyNmgz3kKr
Bcp+riABJ4pKEw/jsW5LNEpf3hG40tbSt8cbhuhjKOvYDEa3N6kQ9bJ5M3pOWx86Vw9JZMXjJ8ee
MtxNOwHnG7KbsnTGGvK+KZ7Sgf6hy6yoOs6ZLDI2+H3edNl1zH/O1LBBAQzig+JPLbumM1G48l4H
xNI+i7CX4YaqD3y1tZ474Utqx5F1qYNrZLD3R4ow/3lcfj4uF3bSX994L17T//KwXL7mx8NyseVY
+vJQgyGHivPTwxLNHXI73dwmCUMMOPzSj30pj1GYXDpF7Pzifzp2vN/Irn+ytiB7Idj/rRJuwHN/
uvByFLF8pfB7SQ4vnoCfH5a+CWSCx6V9lfaZPLHiqcO7kQ7ueu+ION0NFiTzybUW1oxNJ2yWHdgj
DZh5NHufhhCV8knkl8Og+1jeUOG3I/TuFa1NVOpiKfXspWos4QhKuYNofsJddVF2xow26FwCdyc6
4c/eh50gZfawHjcsneac+6o8FeNwSopsq3n90qiQdLeqb7najM5LNlLt1CaRH1AEucsgVMxmtRuE
vK2NotvozjRvQF/36yJv9goamQ/4kjjPTWx6V3PtHYSH+dXTdii2T5r0qlMRlqc68g9NZMUHwx+e
Mpjp6P13ubAfAOAgEnl+RGLSrO6MVj5jWj6YXhUkeviM8/y1Q5FgCVXT06t6mBtRzPfMVM0Y1a+b
BvenW/qn2sTykzbilLbZucZtib1VXta59Qrp6krNxTfFPzR283I9lwNbrbBCGUndNX0fezpPNrQK
4zQU7sqf6bNJsWu6lQk0x53ol9WevCa6mQYrZI+YHDpZcKdz2znwJ24m3pIKMELiVUO5J2/5nE5y
R6qQ8gqzmbdygrIiq+ithW63nirD3hSgSx0tPmbSh3kHcKaoLLEZFMwPEMlfqjCyArP5huKv753U
8QOOO2yNPKyw3n7TRmp78bdd1YsTYY5jCNVufe81HpEkP9undnOTwRPxe546dL+vE1WBPZMs10dd
Ti9TQamYtN5dspjcjWkWgZTxbDXVkVjUy6jPN7Wn3fcN1bsVTnnq7b/BkCeVMqR+wHPknLvTPm1H
H1+50a6TbsCw7eNVMGzJWkZuE9G9sT8mJcqTwO3TN4gr/DqbTVzSVIl/7WHQXZC2Jf+fd6PcKc+A
DwQJw9rx8xMRmoyxWIV23BF4yBtMJcpzGeZyToMNuy5Av3XIF6fLvzisnhS7lgJfquKtr+EXX4Up
hdbE2aL91OtXMx+GG1pC3B0D2HBTWS19d4M4mmZirnF1rMyar2Hg0bAH0NzljnoJBaVfBNHapELA
mPTAMuPxkLuavbLrMj563kjDSm8PlEzxrJ6g7TIE99sB+ztmgysSCyV3UuPS7DBnYe+7mVq4vm2W
nGuHUllhPOIMmO4a6CTPrMPZ8ddcXk0DIkDYYH5TvCEpKUwxEctVb4FXG+ESE7zlMwsCk/eNgNPt
FpRqGQNkSJI2ATB86u+06TIFQpv6hVh10PxWXcZdU8Tt16bTdgbhL8xxzaFwOi6Itnekps8+GpJO
rpLe58Xj3bwIt2YbQzAvwKHHKBATwCoivBExe+8tDESyY2rW32pDPEGQCrd+y+8dmsHbFfPIqZQy
MJU5F9+Wyopdn9KYZYjl9Q0pjZyt8FRT4gLn6BzziWIT1x2RAW4YW4C7afbWkIByoeZgPVJB6WMM
TuaGAK/vrUd80ZwZHa8QMgum/S2ZxWmbFzlds7HFzMb0SYLq5Em00aGiutxOn/GN7zqtvZvTvl9R
wowIMTQBkJXLtmvkdupoFCJzgY+m2jtd+02a4NFs7AEb5HE+sIzQ4tIb8/u8TbILP+qvMeC0q9KK
/SAvbTowEYYIXD9OGHYGqzohdnyMMLRWMKePKh2I6hrjDn/n3T8TwueEoHP//OsJ4V80Lxf/ZUZY
vurHjLDcmun4dRyOBG9x7/5xoV7kVvRB/vsOksXq8WNG8H5bNFNT/0mJ/eECWejokFVcjHy+j+f3
b12ojT+BGFnIC2CiJnRCvk/jV1+ebCjSTEwvu9KM+lnGGDDmLvtqTPYhM+hcTKCPtyxMXbwfeu9u
Z1Ne+FN9Hryc/P6Q14d8KUHqpLZu3E5s6ZXdkj+5G2IkG8+lXKWX04Wuwo2jsRSODfUFVbBaZ0Z2
Edk1NYxas8/S9jV3RrnCNfIOGYWadA3HhbTH0+j177Q9sVfC+rFhbxE4E1WqBs+PQO/4VDQ55UhA
idTa7XwKACfdWauymLZFOV0LSps2GN1OHRcHoonqiVKlcQMt6r3UnSP00WpTc6StZN+m1I1ASo8g
chaufz37xmMfztSRcCUEQakNlPFhEUmcJF7PkvOLeEqI3HswqRacXG7lNbymlRiQfCN5qdziRO6U
/QIRiHJiSMqFuB3idNNLmQdpIS5DQ9yHU6ZwCHfce3wTvmzbg7DkCQEtwtzn5hTTt1c9ejb3LUAI
HCZrmyYveadEUr0ASfsyYaA8Ka+9qkyiixnXDGp2mpdRQsIq0l1ekeOyOlx8JNHKVWeGYhWF3mUk
xRezZjvXxcOVBkY3SNNu3gh7lsGMLreSKJ0MUN2tqUXvdhaWO4BsJDvT9FQ6r2p8hUW3tSrnlctN
uesaumE6hImmogH2i29ExR2wnCr9iOX8PozR7WyyBHdJFrKL/Cx4p97jHPL+pn2v0PejEuWVaEL/
ysLoeQSNwHSB53lwnb1qmDr1zyZ5y5/OZjLDf4qXpnlQlo9DMWzcmB56k0J68FZ0PH6W1DefhfX/
nHPfzzmOpb8+50Bpv0J/em3/vDtczrMfR91ynkHEhq0EoPj7ned3+W9xE9sofL7hoPQtp8wfR53N
To+LkM9t5Lvp5MdRh0tuKa2iBxCYLVu/v9Xd91+uQx73LVaXDpKyALjOnezn61AhPSqDeq+80vVM
7isaoiLJJ62hab1ze+I6nWgvxk6UO1Of2UCP3XWR0IxtEn9s6C1mX9ju2bDbgU8YbS0Hx1wlVlSv
u6XunW2hoFKBCniXfNJGG8b8uiYpFy1F8djpzDVT7Qlm4kVDl7xX+qDyaJevp+oxJB9KNbF3OS8F
9OjWGMgydZQsToC12cd5YQJIy73EHENzN8kARam9P2BxKZoY3bF5FbZVgKaTX/rcrlYDCGOgnYSe
0n6+dAr3EX9qS/LPfPKzEoBAf/JT42Jws3vNzi+VN1Qsd6KHoiEZrhngWMPh5IJZKoqEMUh7FvG4
ljVJWB1Bqm2qi8otnzA4nmn1pDHCxi87Ij/wpqD0GuGgGOnJ08j6xkS1YJxkGfm9kQRXWE+B5xX4
U/qlbjzJr1gqEeCT5r4kvstI3J2HDJFDzoOxs1O1TZwaKQ7XAunzYq2J+doMnTehqvu0m7aw6OhP
kMX1aDnbKcoPscgVRbrttdO5DxFLraCypifWahwZg11t0IZpGC2oLTXjqd0UwqXcjKztWLhbI8qO
o5F9RDMF3p4SD07UGKAMRUgRuX+V9K44Z6G7Hz15V5+t6OCgf+qDd3KmJIFcoG9jt+ekrcH2qTkJ
FPM7GD/vKXLotWIGFwxi8Y7nKmCavHyjLaPcJIrTTdQGbQtA+XSq09S0j2nw4wGTfG0a84Oy2I+h
1OVe1tZ5ARoCZ5BAqHvK16fM+mLaKezWyUPjZfFdFvUxt51DZhuXdhdtMQUjngGQDaZxFGshnWnn
fZ7Dhd2pYOi1m7ga3v05HRqSc+RodJTIubbalYs2aWk1cTHUSt9ZFDCxeDM9l2Cz5e3FInCWzfgK
2vQ+1stN3+aBvmR2eOvyPvIfS5MO72iRSmv4CUHsyxGAQ0cmCHwfpU2IqypjN2ra2a1PvtqBVrH0
FR8K37kI+9bA2YRImy07aNfNusBDVN+ai5jr8EnfaovAq8NIPE1oviHar7mIwKQBbr1FFl5w3GRq
+VkiNcCAJKDdWqiQks6XsuSTkiwSM0EfMqz2RZTrOulOZGgHPTornBeFPt2WN7FlVasG6drz8vBA
0vM8htmwoijk6Ivy3WqXimmE79zKq8BNKQjXRo0eyEUfH+zFFVDbchPN2g75MplBcSCoNxdJcmgR
2eOyntZ1yNugz8PXaVHixVRfhos2XyDSj5W1p2hZI0gVfdFk+pF2fGSoXee9jcTf+gxhi+bPvscE
9JjdA77+5i/GADnyvjMXr0DJQsEa53qlVQiRvayLC02M9qWBy0Cjgv489oBkQT0ngevP4WZcbAld
GFK53mBViIb+sm9SQrmLjSHz47uo4d1sW9I4NBmNzFbIKw5eFkj7NN+UYeWQ6mJpwr5hXlf4Jcy6
YXXD37SKZvYo2mKrIFoUbvtJUbJSK2sf8XotJowUGjOTSn2TW+Ypw6fBqv6ei3gJtKk/hoswiKsV
N1FbNk1yVY1G85T6dsvat6Wlft12yanrMMCtFe0wAoU7LEimxTTQ+6Qq/l82aywSIKsJNS0lGd+d
8DbPx7+eCe4pf+K3//cv+30iEL+hAOHAojFC+EQbf7r8mL+BYPxujF9Ci/8eBywDrBH2Uo5hAI0L
/u0PKdH/jf8PcwsXj+3pTAV/R0rEtf3rdpSktY+EKCBle3wr/E0/jwOAxGG01W1+XRiVBfZKdDSM
4wDRaY82p0H4q3Hse5zgbvVG8uRlXhqtsXbe0WdDXt79OvV04VaUXzd48eqlDVt5rJA6yz3riiuL
ltCZXVYj7dlLj7a9NGqLyiF2WMmztrRt931ESWFYXrWTeteWRm7bH96tpaOb+OS684H2Ay44jUuP
t+knl0uKns+jvSmXru9IOf1GLf3f7tS800SJHaRrvvYEilCOph0RhK/aaGyjQRkslOTehXWH2sdU
sdSM2/XwPHjaQ6YmYGepcWfa6kny8UJ8p6ScacG5kpg2IBD5CiQJZeYGrebuUm/e2qwwPLYlSBNX
JTlrPtbiTjfcBVIR34xCP+a6/QGIYWc2w2trxSdLoE42UHJGT5xQgfjd/j7Xm6fOjA/l2Dkk2OVT
2TpPPlSnoQRWY761vv/WiPaqmeNHuxzfUsvLN4QZ5g0Zs2uNb5b92LDPCUGj12gFhOGOTUoa39E2
eYZ7eZ7NOlzT4SRWk6Aw0q69HE8TESnbIGc56Na1Zg9A/HC6rhjICDqMximJHLlLtM7Z1jKDs9eR
yW7HB6clGAaVAu+vOnolz2jdz6+qyfLXU8riuakKsZvUsPNIW8O36CLOvszbpW7UbBI97wOnD8fA
7nDgGFSPr91J7Bu8GqHn4ofvrh29u9JLyIJ43+tdw0w3gkJE50sPwpbsThUrPmhuOJH0hlPfbtaN
oF6JD1q4Hsr+pLv6OeKlWOxXXxOtuXV6+xoO/UEmLm2qItlZSfmQc9r6y3oznZ0HxZSp5/JLW6oP
thjaOp3xt9qdY1En4Ee4ZOYnMCrVRmL+CN3qUeu6dpO1w4PmK2S6nB7POdPqwOzTu0kTU8ACA7Cd
UX7LWw0WaVldWpN/lVqoyQqy08orKXUc+yEYkQWv3IG7vpY0HiaZWKzD1N+D++pWKRPjqwqrZKO3
Vcj8iKPUTJPHLt24WfxgKtCnnh+7AZ81xpEerY4Q/Q7LZ4FcSr5sNBjczFI/LTx4q9DmDQhyczMD
AGG8ioKpqOeNK/JzvIA8JmJu+LPNZj3KecETv6bjAkIx9TvLPGoT/fMsOjTZ3JZuG5jTmGzopQg8
q/yiO+43JJhkVbnWt2bWnxEkLvQhO1fTdCcc8LH2/7F3JsuRG9uy/ZVjbw5ZoAsAgzfJvmdfbCYw
kkWi73t8/VvBOqVTku65Zho/TUWxKovMDOzw7b680UKUixC/T1bdhl3zmrIIWUTTngDIweqg29Q6
CRreezEUCWtZu9On0dQvdCIeh6K9SUvt3PZsmaO8Xc04e0yvhxKJVwGFVHnau0QsOiRBkGHtJ/IJ
RZPIy6t0dF4j9AD8G5jkCuo8jWJkRTO4ErgCI0dDB88yja0nTl1M2RNmsz6V7y0rrwVqUbTiQD42
Wk3HbsMiPJz7Q+uz9TDq4FaG42sc2QFutgSmSwVtugxoBmssNkzEgqFc8QwOx7vWroCdq7DjCKuh
SjBA57ld86Er+Ei48gwvJl4Xo38pUjNfWp0/Lh26NlkXXRWld+f51s4cJ3cpc7xC3ZSC2wLpFejV
Jmjd9IlMNULJ0J80BDdyN+qDbcePJKzahewHmhC8wVoGRvg25uQh2bZv+iE/cKDfTlbR79ijogoZ
HbJ8bywiRKOehMQWyUF1eZqo0JLMoIvRzpfWMqnSUxP2NxF3LhzrWEMik2G5qPU1pgW+t+/vbBm7
bAW6Nzxq+ELKmprYHMudjCs2yLP2ibTH8yKsoy0ZzRtQq2/S5LNdpVj0rczVlukYgFLz5/wiKKMF
81E9sbj2l8RR2VhMXKZMY2AyY/m3KjizybyLTRwJatva4q3zoseCwXfJ7LOZ2gDYEL9yTIAAKgeT
fULLGmZDApifKX0Se9McSAlZ9GSE3I9oFCQGQJtUOMGH4JmIH9ulLtjGEWk7bFjgJvN2c1XGgqIO
QCwkb0ttHlakAs6TZhZogw7zp2DNpSXywW6nLe0G3+1CedvKj5Hg06Kx4icp2whesMZbr8tPOIQr
fOVAfFXQ13HyndDpEk7LGmHPAK7kiuKJJsJ038zVA+vNapXm5qM2WVfMNt+HKt14fvzAw14c2fEA
xHI9rHvBFU3t99xwdqbWAJ2h7w7OKPn/ifCxjzLoKHx8oTLJQ233K8Nx3gHjaKushpcDVnXGhOLe
6lgy1iyMLIA0Y87sjWUe6c7fi3p6lRpvhjbsjQ0NfPfcJmGm+tohCoJXlgGrINFwRMbltqgKvt8p
r7nl6wsCqcGandV7GRPQ7dro2RL0A8eVvBad/FZYkmVAOu7mwPyMxeBwxsKlNgxaONwxp7yHOxF4
WMRLEF+8/WK9VR01HtZc/Vk2PabBJFrPJb9YuoibVQjJbxVjYl5KLX6Fo3hOooHCEgBDy6rHdaIC
qGRrtsiKVBWYdH90ItnFASCpyIXmJ1ra7isD+A/ey3RNLfp3RJRxUblBvelZNy+LrO9XBVQz6hHU
qSofM5eYbxCQiMsq7Z6d3EPtsYrLI1YkQ0q9L5y/oHPbZdAU1cqwwrtW4rD105YtZwcgUngPVt5d
BynhAbNpVQskVbGV5PNk9u1mDNCBjSTfa0xOKhgolgC532iFvB4Nnuf8tHiExLtK4hsG1voxlD08
IvkphXavmVTzOJmSSrzk02kyKg9S472f6iPNYSxpHfu96Z0tQcB6lQf6wc/NfOXNNIWPMnkMsqxZ
VmNtLN2O5auWYa95I0dxYjCwFq5Fga7exYfSRkgouzi+GFGx96uar7nJc0D2cJEN8b1euxSOd9qt
Q7HowmD1boFfGpm5YEHO5aIti3xdtVQLTzYLpSyp+OegM5D2rq11UVhHtyq4nSLxJg6qOp+7T2k4
aPbELtZBYm5E30F8UcvRWmczm8OpncyzKaN2ndsx1TdJeScjfke0A9E8Go6c03V+Hq0639TSOuhu
+x5nEyJS1D5W49fWVDzM0ADHKb03LC1bDQ1HqiMglVNQ6lJdwarbGVZF2p3Kpt7kYnQXYmpajkOu
lK2MPzxmY7ossUOP+cecwbbyuF4G9bw3jPwpiknqkK0uexhEDVMeZSfMmRXvzBDxawuvmRfZOVuI
i58QdSvO4JFMJzMfXt5llMZPHa3KPl3hYZK/+m7yFrcdNZEIJFGrr/AeYe/PeVKa1W6qHLI8+nq0
1WKjKu7GxtuVlrf3aG3C1X1NG99yinSkCzNch366jur+VNNA0kWsM2y83IcmBvpTBY6R3KT5LJ+m
IpLupdLsnv9gt1RFT65cdnap/ejT+v8dqwPh4n/Vpe9CYLivf72Cqu/6/QrKhRLeq86aC50ZFs4f
rqCCTRo2Hf6iH67V/9xClaWHZ7wEuqMiK7/fQuFiGOS5OdjwwkKyANPzNwyttvlnQ6uNcZY/BaiO
jdZNVeEfb6GG+svLtEqvBQXACCodgG9r+NY7XEDaSruiUaYmXRKdkxS3eD25O0yZrOYB4K/60f0o
uuiMW/beSvJ0meuVu5pMD7t+gB3UNXdu2m1kS8fXqO8Gqn2yjBFw4MMKh/q5scHkcv4vzBHI2Vi9
hg5P77b7cJiOB89ct1oQLya9PJPdeyfNvg0mD9huA5oU0ajbxWW94yw/NnGwBl65mQG4aSreoNv9
SRrFAzWVl8EIqSOrrWjLveQ1rcXGEOKJHkV74/hAeMsqYzjQU4ybtosJRzYHe2z7jcv2rDW0nWfG
lELFd37PbWNkUFn35XiTE/taNG65obdG7MAdiqPpEDec3QHxPWe40jLnyjPT7wQ7yu1kcJRGHISA
y/z7Oi0+05J+XZEPtNQ28ZlOlGIVBQZWh75MVbDHXjoj2Exnctf4VQ+h3earYEgfWnZxB2jfKxKc
N2ENHCx3vQOh82Dh2O0Zw8N9FXZbox1vIkqd1t1MbHJiWUVo4BMWCQMRUiWxwWxhud5zHOu3U8Nz
qwKvyehqZstJmvdzFj1j1IKMqNBwboLXKAJJB2oIOuNnA5xsF8+A0o2om9Zhg8yn++ZN14aPYczr
DyYq4WeCcEuJeNhJVq8ltUZUvXUfRZzstQarC0OhpXTxqdUlIip/jxgblFncV0VOHHbKbseaepnC
hTAym902CJhqqpz++XZifTHEfF9qtt4KQry1xZWNpuoq+zW/94YLHGxzbpbls95FJ5qtT3XkRXst
0AmhMvatLCPH70S505J+PdIRbYmXt7jkoXeCqO7soTODNW6ii4iLZzK9EbQogptdVK9GbsZy4IUO
6lmjp4zwurg2DDbHVELuEt0/1kG3b/LyodP6bdHk57AoNoDvPPIZLJiDpvfWlhygG6ShIAPZP6nJ
oCGRo8XjdojKifJlZI1csi+a+FdNznVRDURxvf7OTVJWIYdqvrT92dcoQBPePhjzK93Or43e36X2
fIV64AET7rcGDXeLDphgV4SsWGdiTDIGlatlEYsFDSUG6Dw/cv7QnO3N0pVGthwsBJFM9J9hQrRq
zExnbZTqo5o0b2MsV0Phfjrx2O0LeCNLv/O8rZ7b+1Cv7NXsW1mNhmwyH3Bh2mraGKztEYmgcMIB
exINqDUb7GAM2wN8zXiT9db3zm4ZQcPkO6L9E9GudwAyXMoaPLmBOVxPHWk1Gjr65dTKds1xhLRP
DZlRH9mwt0fOnorcFF64aKyQvPOs3dt5FsuN2ZXSfuhFoq5UVq1vO2tCTRiokV2MzlhT3NZx8V27
uQYQtOoN091ZtJQhuZsUmF1Q6qbuzhOZ3t4NXq2ZrPO74jjYoKie6tky+qukLXcAlpmx2IisC3Ud
jdTFtBLEsLipNurK2tLpZzFIbmp1nXU1ebTJpK5IM1rKnvReFUWDwY8SrYz7MKVh7jIkLgtvfJYH
U12b4RIy2air9GQXL4DJXsO4NlatyyXQnKtPSix7usULAb6YS7lQ1/O6rYGwcmOfymYFU5EiA+7y
Vl7faH5H6Kp46aPhc9bM5TCq+/iXDFASNm/M8RBOgGaAKmJUeI2S4pYJbSA9Y4drU8kK8DLuhMEe
Hb1Bi6fnNDQ+ZyVENAEMrz77Bo9hBQ/NUGqFZdd4+OrbZOToYZ2OvLka02MaOmeRpKTukDwGpI/w
SwNRakgVMcHzZrxIJ5lXRKeCtUA8MXhiQsK1ZxgU3XkW09GjWY6LaVzunBynWVOIdkuOmbPdYuOm
NBo2m3yWfO0eJiYxw0dDqTkE1RjNNCL2buIN/OVgoDzkH0DeUEFHzGDmwA18UCpRNpYDq9HhVLKY
Y3iGbRjozlU05OcudbLlWPpX1HGxcGh2Qde+Sm+Y1oZSpJQ0BcAjXftKrrLj7sFXAlY35I9FWhxi
LeE1onF1SuziU2fxHpgRwJQUVqOJIUE+cEBvRJmekiyEC86y0kRFq/poq0XIaj36GkToa5KKt55d
vEVKgNNR4iwy0ZaS5vrc8rf+rKsNW70PNHafXC4CwgUe61PUPc+eXNYy+TJ2jQp1NRqWkdVcJWiC
TCKb3GjZ7Oo74EeEvZV8OHUWqzQlKQqdyjEv8Z2tFvBVR0mPkn71XNP0LXckdw8Lyls2YXolcE7S
edYeujyviax5BwdVM80LsZ4KHoJK8IRBHGy1QT+m7OCW4IYg3PFJg85kXEslmWoNOVg8G7AVlKDa
g9FiJlYiq2PuLSu6JlLzTcOEsdFybjUcchxwTO8zBhis9O61UffIt7pJESSKLmusR9OurgDWv88o
viNrPaBFT4USg4NSrlrkYT8rn0QBWpUM3IB8bNINSgULXXZpeDQQmIMshQgOESmZDwECNGAmqJ2t
uMuVNp3j5uOsD5f/2EF+2EHYhfz31Q/NtQiUfx27Bd/1y9gNw0hAz0As+ert+j1HhmvecW3B5EwG
+wtL+XP5Y3q/YfjhS//Z8PyOEsERh0kNCiYFeD+4SH9j7DYcNVb/Cj8Cr8TnwoJrx0twMcH9cewe
Bx9FRiIvJnPpTPtZFhllMiEw7CsaB80sO2s03O5cnyiP1oV3kxVwLkiOs9zoEO99iWyVVsm681pr
1djMoGJQB9mIgNz1xas+zQFXveh1rhpI5iYN4XUjj2kGH7/y4+u4omYvwFhaZg1Cu0vVnzvNYhd5
slnhePNpw016NaoDO67blEqy9thRWMPBEj32usTtnm9lip5XjKu8n7fYY1lJi0xgSS5uZrYKhSz2
7L7tRZQWtJgyzS899hyLqJ5fvbi+kRK/aAe7iOincW2INj131lxs6PfMIYCnTMRN9Wn6wWsXY7DL
NLT26QO/Bv0RpFJ6DTEpzRAJDOuxzANuHRhJoJpQqFybWEqSEq6HWeCxmVkVLfV+PJozQq9Rzx8d
1WcdCwvc+FvdgY1ZslQym3VNA7AR6zytcY8t6978aD36nqneIES+MGbzlE8zPQH0AncBzvDQabFn
R/dul+ZAOcsdkan1WMT3Kc7kts1vylocQ+QiCgWppYT10fMr7TKLKvExqvNtC4Rp48ryoNvZW84p
iQXXP4neO1ESixYN9lse8CnVNzyZS/8F2Ssw1o1ZBPmNNrdTuQVUCO5YJOIJHCfClsRtbuA6H5G6
iDZ0714TbhzDU08yvhzhVccNgWld2dezfty1U3ixct9dYxqaNmTEPgdNQgJ2p2fykPftPN7ovf5i
4o6HbPwcKbu8VMZ5Bwd9ZIyHQVnq0xB/fqRs9lQBkMPFeG8L0sc48WnQ3DnKmt/h0Z+UWR+GKiiB
wL2ingU4aziT5rVXXdiyT0gw+7fK9g+tXY8Liz5Ynj4qGJCpiEBKViBRoQGb9EBNUeWo4gS1ChZo
RfgeAJJfpt00bygOYmIkh2BozXOES75QAQWeCaPqQWBZQnihVTEGCqn2owo2uLV2PZF0qBmupYo+
xGQgbD8M1iRqHEL+RKzJSRgunlEVnJBtcQDiPCxCioc7Fa4IZfLZkLYoSV30jX+SKfHuZIov3LOP
pQpo4OQ55kPqLNg/98uYFEet4hzwwoZtNdKA2aqwh0HqI0/c59kp1llq76mjezZVPGTWkKu0kMgI
DIUHhwzJCLFBkCmpVLikJGUyj9XRV7ETn/yJHP0tQKM7TUomK/dK85qbUMiP0povGfkVMhrdcpZE
WkoVbqFk/Lbvi21C6oXn2LZWMZhEBWL49MiXhoxMqMIy/ldshvxMRo5Gkplc//No+3q0mZCr/vuj
7Q6+36F4rboo/+vzTX3r78831bHkQGMCvaOeInzpd6+jTsBLkgfjWeXgfviDrdvkRRgoR7rgBPCw
JPzH68iV5t9/2N9VlXgq/vnxxtbHs6RUChrbR0upTr/EpGmpwNdEJfHVhNFGLxcGFupwkedujGct
zK8iS57piAwv0iZuMEv7ppoSWiQDcWv61m1SIxMIxrxxDPdx3x9DR9/0ZndKUFi0fj6kOfGvXF/N
hjp+rfENotBJpMz4ZpddIIlt/MBhSQYieNJuZBw+OFP+iKyzBGnx4Vq4LnWcFVMOSbXgCoB4IkNz
j/7zjTz3UrPEDViRSwcYnpzOBScjqrGk092d4d/pS64FDzbyNxMmzJR6ePOi9ux7xDBq8wX+/rZv
20Puy01resfeqi5+GF68YiSOxh4wLC8d6SyzqM71aDw6lr0LdWJkAD40QBsxzuRCg7vZ0ffQzCuk
qmcvaq7DsDsHw7TsC3drDWQ/UnmpDUhY3mdTe4rgNaBMdx0qtvvK/msRSeuRegHUFoQAu7kNg3mr
IWpnJcU/ZX03Nayd/DG6CmyaVZDK9ZhVWZPt5qm5zdz2LTfGi+bmF6o6T73MdjYRFaJIu65i3xjA
JI3Li60b69n3sKFbt46KpbhaucN9nkMGpaivc6gbn6pj5SevZmHdeiXVO4ClWYA5V53WngIjW824
xeuZhjpHu429ke5z/5uluFFogDKP9AWbXKKoSq33RbV0suocuamqSqjGm3Tq/BVK96vTe/W2rLha
l3aHjaJ8NIwyZL8xvgEsVaTsOhDVupm8gWBr49bxjjrUcN9+2bjg6WDpir/gDwA/SFHplB70Y7On
O4e8doWZBqbgbVK0QKhl3S8bFsloP7p5Hu2ZfhoKH1h6R8WCGgpjRSw8vjV0Y5sYcFBtGCRxjmbK
6AmNIgJvQn/KvOTMZd1Wsm5qXcGyyxmsHTsBe9VAuo2sqVpxp6d6iN76zdxxfyxKtI0haB5cHlLr
ROJljFPjJnKRNOb4c+BpBQbAuNcM/x0BljIu62pGGrXq5AJSjA3p0Kuh4iOarbNLVkej3zU+1x1J
ef5f1lpllyxMGVBKVNwYRfZtYC24Knv2Jr4tuRezoKWrx3oLAowOgq0queqqWzWWd2ElgQo5xt89
rRsJbNHJg8WoWiWG+0Eu/yWfjAfblh+8fiAcBf3P02RizS1xZoQZzYMkOnkwJxihevoGyrRWHT1X
fZgd3Gz4Zo3TZ+cIUlLuwSrCaEPFyToKwm/RbKxpWakuE3xQxCTMv0anyXOR+nck4LiqA2ZbG2Fv
4o5iizjo+dNAbeyqqShLKdgFi3GoV04Y5Js4Gfe+lm5j4UVL9mzPc4HGmrbjFUVTb6xu30arJxE4
gpufSQeYOFz4znQXMD1gpDU2bknYsTKNrV8YT23FPpVjalk19j5inbjoZPQ0BSZ/uGa9R37FNZRL
uNe1bxorvsagcnb0xQoT5SO1Z8hdHnAehv6lRQDC7DRDLUihsNTlfThwiRXAotaj5Pc++v6TqTgQ
fuk7vL/MDXUxXEO9gY9olLASLfhYkk9jZWjSfiUMfNM+2b+O7BaoGdbPBGqiaJa8tv5QkuoYM5Ij
E5kUNzP3Q4i5p+1RdcQBpu+8SDXPW0QashGtmackFHdD0B7tPLzXJ0csenTCvI4xalmDuZKjdqK5
C0/plDzUocW1IKOBCnsbPP2QDdkGGwWUfa0AZ9NX2Hg1oEV7i0AjjSksrQWRWqFQ/VNOeDBX+H7c
8uCOphsuMQQM8XnfREUf/XPN/uGwNHls/++zyOJD1UT/D6MI3/nLKKKKFkECG1/N2gwVv4wiEjWS
KzgRCyYRLug/YxcSzgs7sR9Vj6Yqm/g5icjf2JeBIOYwET+4xX/jpk0RxZ9HEQ+SDFd627BMHT1L
ff2XUaTpJpv9p6vh6wBulRb7XmmYeSppDdTbYpM4005rLHMZh9kNqgFp2wj84FBR2zhBbkjjFogn
nUJlDByBgawgYwWpo6rcgftp80YX97ciHl8AfZ8n2qY5FNxTmdHOahUDH0WTx1jNJS2LV0ELsNGI
6auozHepR2SWZbP0TXHjCbY0g+vbALXqRzE6nwQKxk08lGTEyWHrmU4XG/7pTnPmdeZVT1ZXdqtI
L8HE0buDqYUoGVU8eZV0C51ynkG19Fjozoumyw4hYjpSs2rzmbEmaSt/tF7Kr7KfeFDFP+mPFqBC
AQsBmIqSvi5FNvTQ6QvFOiwV9bBX/ENDQEKsJnPdY/2C5wIkUdESPRaAmeIndiL+3gJU9BVZ0VeM
RbO9wFA2GsJXviIwDl7H7ASU0VF0Rh1MY6x4jaMHh3QauXzjyzpKv2kOlcjfKgOVG8QbuvbaBsfJ
rJZZxk2VYEgkj8siaEruRUjaVzn7m5E0wiispxxnXBY5xVU5j8WJ9qNpqTnemnDdlRmU+zwtLo1O
l2MdblLPOYDAe6IymmE1Mad9IeNNl1tiT+KMmCz/7rXZEl/wJe59kbKL5/U8ukEbHfrICdaYwAdQ
8r6GDczMrnxX3Ke4kjaccFAnpXO0WPnjehqq6BuMUCNd16mUco0r6jwb041o2CMJ8B2rGAYlMTZx
F/TTDU4NVl+1eUWSZ6ONxq5q5A2Nu3s/nbdJ3+1CMbOHbQNYWtnV6LHsGY2JSiSe8bSwNQMczdju
9lYWP1IifA8XcDsM7rdMI1no1c1u7IL7Mp9P9RDd1Vn3hC9hp48ul/80LJcSBDSZcJOio8He4K41
NiNMeYlge+RXzrHfxR84hxZ9zWvTJiA+7EftHTGKxTg7W3O2X8CCrP1ccK/t0vMc+LeZXZX7iYHo
ZGrWHWrEW641bAbv607XEYi8myCMV2XTU2g0H2qpfxNePGDOjLdNVBNNiSERmuaZ2oqXrAvQwB25
KVsC8iYmUbzN0VLXiI1W0/Dq+XqxFhkjjpwv8O6uaEFgKhyORaNR4aqSm/abWQq5AtB7Nwfh1aBb
j1U9EA7Vv6WV0NfCQBLJ6S6MEu3iC28bZ/mFzgR3EXr5W8+qa20OlDoFE1n/nn1Gyv/GnhQPaYud
K9sTwT7BmDvyf87rkQXywSlo96QKNTU2uFkmINOsmG5DgmsGfTLBc6z8iSwKEL4Fm5lml0T9c+MN
m8Hr15PLSzDdl9bNz7SnwsEBZmTq3bJtTby85dPkOIw/GSPVYMmTa3S3rl6llI8NmDxr8ynq6v3Q
1HjoerrnXIsmyGCPiHpj5Ew809yfbYzlS/JUWz+v3b2HlTVMnC1b4MfYSE6BaB6cvBSLNBa3bcgO
uMSinFfHRHSPSWbd1RG/i6zs3+EqXZmiPpPFvRrTrNsHE+6xOOp3qcGNwDNueZMcio4NHxLjVeOL
TY85jndV/5QZ1YpRM930jbimOeKoefpRMwVBl0HbW5O1E7WqiSZ7Mg+7gRkMf91p9Nptm843bZ/A
DuKawC6JBjnesi7Jj6xJH3yRv9Ake0UiZt/W1kdDpUxYyD0g+m99E93ZbnNPUDnFckk2xAax17tv
iSj3ekZX6IwzClTQCZbtIYdxzrpsYLObHNlUvYypeeelhHiNKYOyWYllLMXW6qNNXpZXdlYcI8f9
/Ecn+dJJdMaI/z6b7LPyo45e079OJur7fk4mNCBYNFJRH2PbiB4W48fPyURnyhCsKGHFfWU7+a6f
k4n5m2WaFB3AalW9M/KXBgTjN4w8tutQePWjJevveG+oxvnTaOIQ+rCZgUzbkPyBajz6dTRxQk73
kfKQ82iWxMr0hPHjXDpm6X+Kec5tgZlatHgnTK4e866QIKdAgowxSSNpJbe+gZvZJSu5q/XeAXYl
jXc+nc2y8PzXWk/u4Gpn1zDEQ/yY0tgwbXE9s0RzLqT8DEs3XiWZwXs1b5ixuw5BlxMW7RXtgG2f
fZq7JttredpWC53mVS4mEn5VTH/IBVo3uzcKFWkDTo6ejPJVUw7TprZx/7QVD800E+Uy83RlcdC9
i9VPh8SOTm7R+scsSpNNosH14YpPwMA1JKZi6Lib0XPC1dejtjLHZKknXxH5FO+F2+VEMrRnygKu
SjnmByfs7nWJe8LPaB2k3bCEjTVplzqW70POoVIVjr4t7PhzjuMX5p8Gy0uvZ/vBR2EvrXh6oJaH
Sa4OzwGC+r4L4482mI1nHJu0GuNj3vQyrVZOkxINndQ9kAIvBB3N19dyENrBKkdxsvHEb6PQwEVK
wcKpdpwbl8TgXaanXJmme60kmlpYubUVWHYcSbrM82skcvxdKxCTxX6mjGJhiQE/wpRoJz0kj0+k
JrSf+zKgPlqYybH1J73dBpk24X2cIcTUVyG/u96gUfw86VFFWXWgA8lBUxbMWNi6kaFdr+JSCjrd
3vOIVLJAl0ZgjlhT1n3uXUX9hMxWzC6DIRRQkyU2MyIKDaJSr3vJyaD8Wg+y+Y5LL8/Lf06vHwtM
Pur//fQiA9vWr/9aMky//vUEE3zvzxOMTj4uVjpBNJ1qLcPlmPp5grHGpHLP5uNK4P3HMfXzBHM5
20zD8DhbHAHO6xccpkMVl2vbniF/4K7/FuGL29qfTjAb5ZmDkj+TuCu9gby+X08wL3NwzPZ2f4UB
36Dxrq4KceAqYfF0LMgkxzKjrCUgGczl30WRWMU2c+mAMBDmGnvMNr4fkQwSd7zrkRAmHw2tDCno
7JS+MEfzAWX125BNFwcBwo5IHcCCwO4NcGIcWdLgeh6VaDGTh82A5rFY5dLh4Doi8v5pMqEvh69q
OKV/lJFprGulicwuXqM4Juvwxc1swudJKShNak1rr51QVZBXLEkMyFKKi62kl3IW+BFaoP2oMjXy
DA1Qq1bpNXXTrLBMvFFCsoiVomPrzjs4Wi54iD2ywtYmHUIOo8uWKKKbBGFIBha15+WsLgybUGlH
JsqrodQkBN5do/SlSSlNEZIT0M23DAlKqDOIVPpzpNSpzEq2CXKVq3Qr5rt6VfcYvt2g/B4Iy16N
yFwl5x8BY5QvaJEf0jfmC4LJa0Tx8JH1sMNKklMkDCRNtq5+azROvbIKHxCQzWqqYEXIhSE56nbV
P7vQtHCSFXW7KcCfzdRgEbx1ik06YbxP7REnVYixJ/Dwr3RG3pwn4Y48Y/p640KnXvnkNpaY66Fm
NUm41qKCVLiI/HUuGppDRZGSRhnaO4PK8W+QyUOM/CnQsyYVZ7jN4F+GJHkuarzOkePIJ/Le2W1T
69V1SFRo7+r1eKo8nxTyhLPGABPZqaLd+OQPFKGttWI8dfWcGsxxwn8b3UhzIW5p1T43xE1SePo6
DIfyQVAX0W99HkovWuwFnxYuVu7c2EeGlmoLfGQ0mYJCBydJb5yqS2zq6Kg3xhlgFT/1Af5qcKKS
9ZmHsbfUqu5Sq+pFX5UwOoL0R6eKGR1V0WjR1Wi1lDZWGfOio2ocuTz41FovElXxmKuyR6lqH2cr
IWmjqiAdkKub4qsfEmisY34VRlIdWagSyUTVSXqZ6+65qpL1VGWTaPhgdOifHFURZUakbXSppvzn
MP9xmOPZ/u+H+eoj/deFt/zH/3CS842/n+Tmb3zowYzo/y5Y/eUkt34zePPgVflJVPo5i371I8Jh
ZIXGzCkMVe/1b5lMBZVdygQ4yaXJU8D4W+2qf55E2f1BR2Fj5wqPOfkrq/yLSNb6xKjSOTeu82Lc
iSQ6OQEprH5a//KT4RY2BUX+r7zLrgtGnub//h/c4394YPAvgXKnHlk6XEqEOedPDwwNmwJLtmS4
Zg2Q7NtAuNb6a6sUEWYqDBQdbXC0FcLclTd1pyopHxyjxsjXkACifQbjJ4PtsWfMXPEZEktzIsBF
jEXRoOqnoSmZOd0QXwZT9DJs0ruSv3DJFfW6EBFbbAePnltxuaQOXdXhkZLJZvdYZePSiwXAd52N
m0e/HSG1fOPLfmNYdrvqsASuGkoBiVg+aozpntV5wBLNJ+6oxRL6yB30g1stY2Gm2Zc2Ej3Zl0hR
d8E+erjQ/SzgDNEp1nFRkAJCSoba+3d9e2ODbcZv++i59QdtLS9BNj3XigHC9gxTyRRd27V/lE4W
beBy7STTIwzImt9QXT8UMthFLhDNNAyPSLBv+RAmm57hm2MDflNaUGhIKLlYpFAYNno7v+hZpk7v
+MpyOZinlMmxNFeVTF46R3+om+BcjFm3KPTp1qm6LdMEdT+Btmg5b3mh2HpZ/VhLJt47bcLtncGV
XDrei9eC36Aqvat4SjWdhVeVNgUXVxW/v5gUcvfpThi+hbTPWt/hasgzyAh4g3RnuhhsL8cJM9IQ
6tEm0dPrKg3jDYLSds6sMwEu4ru6tfV6frahKn3UJGG5smKv1Ns7+O23RT5PK3NuvkWSBVvQeDXS
Y3rXDN1etxNKtU3xzpaYfdAwfUtx6G5Hc74yRgoAmpA9RT3X3/XU+G4gzSwTIgtF6u1pCNExAA1b
7ic3WeKuRqeQJ8dkXynT/H2Oy6fQ4VqUkdHEeoPRtXKS3dBR8k0E0aBpzM0tr17zFmNFY5HZ18ew
es1jiMib2dUQgGw5EpAUIzoPKXEK6XYW7uQVNOCN7lK5o1f1eEhTGyI+TenCB3phmd/hou4jm8X4
DANlMSVl/y2xTWhhwYBleGGrHGk36tEqiY29iQ9f75NLqwgvbvWKgexWT7QP+lfx1GMKYZ8W3k9G
zzzWtMvRIzg1JPpey+wMDFZ/cgktrDQmLDsCt9w3faSai4dnGRNHHoPyHETCXzbliGmNEL7VnMoY
2FjbkPton2afYNXoxcs+FtdxXZwTyUfWzJNrbCzHVNP2cxqy3g3CcD2PU7aJ++i7HBBS4gEu5Njp
t9AGtiN+2ARr2XKkUymX5RP8QmpK9ti6j0mr7Sbp0CkuXmYbb6aTst6e0pfUuusHKvrYjJdcc1Ig
mjH5M2MDbQV0OsWps7keTOv/sXdey40bWxd+lf8F4EIOtyTAJJGicrhBSTMScg4N4On/rzVn7BnH
8r1PlU/ZHlMgKaB7995rfWuH8nvTahCyk6Uet4aT9vQ8M77P0XwpTQ3PaiWAd7f4FkS9HbTyaq7E
c1sB8U5m86HvVfdYK6nZ3MnyKHLNNtxVOsfAf1pGfzbtyFWU7UJKOyBZIXKUIY0/lt1dhyc4nO35
jBrAWZnb8DDdVsc9jVHltXxEEbAnFmQVXiB/Gvx0a+z/fhlnG/tBvPi/y+Nlom9h6BYij58v34aD
NSr2sJxH57UO9x7Zs970olTF6t9fR0eq4oArxkCj/m504/XsWSQ6LWeNXF1q6Dx/h74tmKH+/XV+
3v2+fR6+T/ZAjR420SU/f54GvJA1aLF6tq2L1oZkh63ZfPz7a3xKXn5TfP7vIj98mN9dZIhVtdNh
3J3HTfdA9kkw7tSvri/DZY4F99jqpg2A9G303f3J9fPVaTwmm4cuCIPr9CBWO4r7S/iuq8ivNvwV
PPz9+9N/npN9e38yV52mFIY1vGc/fwn5sCzoCFXtTBvjFF6rgXrUHqMDgHhAPP68Ojxr22l9ajZi
Z+GkvUBZeY15dAOX8L9567d5q7yB/7qQDPL/86uWlKs/KSR54fdCEqCn64CQo5/JzvlzS0D7BWyN
CplTQh0oNH9ranq/SBkWTUudcSyFJn/0fd7q/sJ6AjTYIreItqH6ryh3pmTn/LA4WAjo+TmsTCi/
eJb4uT/fR00UEuyqjaRcMX8TMuZmJO9GofQFR921Z2WRYThslk+WWfd47nLU/I7ioDBYJg4pY3lY
ohn31sIarZKyA87KAWjrcnzXdG2zmFC9CxnLQ1HUrntzqAAheyMCC+J7UnJ8Bhnow1k7pj3g3Htk
/bCrlBtbGp/Ikz7wLMDMMZx9n0yPoUBPOab1bVvFUE2UxNtpavSlNNkIDfVCKYZTpaLAQeyroXZJ
tc1sMSOsySXKRbKdZVBRRWIRvp/nsNcPvV13FzGZRuoY5ZuoseP1IEAP25P1ZtN62PU9YUjtRKsT
Pdi7XdnvuDJTv5PRSV0zHr3JeCr1ilS/Ia/A/Liv+hhfxzJ4ibf5xSuLq4ypnGuMzlqJ7ap6mNC4
MpTVttjOKjgM9iuTmU1U5ddFCLVrsYp3OrDBJPmZVV5vTYiaTituyMSIdvQRXETAFrxvsSx+mih2
MCgTsd4CQx6UzgRa5yixndBbyY6Q4IRSQj1T6J75KPaG3b8UEvvZSADoQGNmkUhQV50f3DwV7nnq
OAzX/QRvJGdL9C5jpf5YhthiFjymQZcOJhJyxqRAhqZtkcAabJLU29fNHF8bmX6vJTGhSDNacR1/
5oKJ8nlRycvGluQNd4OdRyeE1vVhUYvWC/Dz7Ai/DATTKQ3GGkWGCzMO2B5j0eRBQvhWYTy4K0MB
/GVEDMtqu558q+rZPpXqHKUYRmyCHXVbvXMUGlIiJUps4GCU27BSSr5iGkRhOj3WVvLVMYrLUEkZ
RWNAY+DX07pVhlez6ECtmcYzs94XymuYsZGznT2T7MQ43ekqCD+HOPJpWDaKbpR06N3NXGK1g9ZQ
5tmlHTpHbVA4rQBxKYC3q3IwPA5QNGym4Os6g3A/KukXzVaeLBRe0F1u8ri/nEflDpDQS892ySEB
FsOgXIAIOKlGeD+V6cUsCn5bof4QFQi14za8CyfngsRDcr70yNwYNXVr5nqnUjefQ0fc26qG1odw
DtKtKKmdRH1D7XUj2vQUSZx56BEE54xydnpjzHyWIkyu207bg1ZZ43w+RESwDba4qBXrLZr7B3lc
iUrrNJrWFYyWndEWq1olMyvr5idrwKeXRkqxygjnXbPMwcdtyFT25gol3IS+B4XGU9sVByA0x8zQ
90zBH4YyxsGkhAbaJrGvyYVcc8OqK9DVN7CY3kgg9XDw5wy0bRd7bGoEOVPcgDgZKQ2TcZYewn6T
Tn9aF+keRsZ66gjp0rHMyhWXVYphcmaO52rgBKKjUNoMzOgjFaeghtJd5StgTbo2ZvuYDt4XBC5S
ZW7fkyV7NExsksYwawQR1PS15BLXYsfEu3Wre+Umd2IwjDUjiq6pDky08l2BwVHL+2EVFb0NuWV6
HJboVlPNN6fAbBDp7jEb4xBbrKJsOL/fkJKKqyrKtPWsO2964mSBVuawfO06mA2FwNJEN6Wsf4Ov
66Ptl/A2bRYm2612VyZjuRrwdnypY+VkV+OI9ZI1IkkeRTxetV68Kyz3AymFCHpGTkDE1HVWNDWg
g85SsIV0S/FYRIoTIWiIsOjaoyR3WReW2955MnWrlflby1K9VAvA8NocjVVPSFc4wtRxxu7N7pVm
vQzt2UzyU0ywl0HA10TQlyYTv4yyPeTo/LLIJLK+t64J+DoOnkJrVeaFpQSHuQSIqQotylZmilkC
mChoxjuDuLEkpC9dpQ+pzCHLEEDzbpYnT0aUNfNDYYnrWqRn7ge+hGm4Lwg1WyxamQR65phaSsxd
QEEZL9+WRKFpeMRVotFMdbovAbWFpnW2iU6rPSAsLn8zyVQ1J7c5llkkrTEeA+sj09dKlYQ21lgf
h+8Or+KulUltDtT7iEEaKxEpbhiYIUB+JrvV6X6RWW9KJvblZ/qbzIEr517ftzIbzpMpcZVBXlym
tjiCZIZcNNEmkKlyn8XIf4wHKZD/66psm7+Xf6LFly/6XpHp2i/A3nCOYeYCIvwTZVAHpO5SbnGj
f46gf6zIKJNwi3wvyX5r7WFDM1ydn8X/cSCRtOJ/oYAjDub3FZlpIbhnwqy7eIM/4cc/nhZhCzn6
NLjelY52e5Va2lIzHJH+IUMpYz2wYqKmX1ji2muGK7iNCmk8WnAg2al32ZZetq6L7I34gsOMmXHU
ewh3JgLcVW3kk/RaLYSIGU0wjN41spaPHK/TGr/PqzfoqHPIYO4SP7KIHorqrVsap6lWdkqSv1nt
ZKydtLqMUnGd6bJd1rd+RPqFo8LRTlNG3y1OVK9SeHzmLS3Mk76ofoIEjTaRlW8Gdd7NGlOSUtHe
0oIBKgGO+9Z1nmrTQbcnvtTldMT9lVtByGd79sC59iF0AmqEd3AWfkaxtEqZ+VAeVM0VdLYNHYRy
rY/arumrizHLx7XoMTVnhtJilwPpohoun5YBlt9Vy2PRjUd4GAV1QgcOMDPbQIdmEJs6Qh1ogG0G
NwcXuBOkQnslMYqAFppRjenQ9KmG52IKX5hF3cZldTXNFEJKEVqbogNTX6rlXjDqIKq4Q5BHM8ZX
hTmuKnzb2/pTzwxqbW17Ht2W+bqwsn0HJ3mFR+frXACPVOk9we4KqcVoYBjR/Ip/UOB+0D5gW4CN
GPbMNC5TVpMV/mSp8IN65YlBXMITS5lAKejy7P5yyfL3QinFE7/Pi956WQr7CL1hDe/1nDfpgVDM
W0Hs5LrFhtj59Cya+BLSxLCgds9AidU5GedQWfvMg/aK42Cfd/CJ4MnHSItcOlhYE70jo+r44GQV
SrY4YyTPPUDuiEq0Kdh47zbMQA2s81nCA5sKCsUoA1PY7c2c+DFiVDTG9JT5ZatfOnk+EMxuuzti
ZtWn/5bDz2mHRjfnr5fD3VC8VfnX/o9nVPm6X1dENDSqrUq/rC1DHJkC/Dq2RpNDn8UCgcZg+9O4
9L+xNRMN08aTS24LrR4MdZwsvw87ILurmm4yObBVTpj/Lpjq9ydUE9oqahtXIx8IeuXvu2f9MAtK
b0ucB/UQMaOeb6pu+8OX8ieDjm8Tk5/bPSoWLBNpJ+IeOksIpn9cdFHgGmmadfXZEMwViCO0OjqJ
saGXxjlWCcuVfe8pu14+GU1xHDtPrBCQm4hDn9cx/imdAWa97pCHNPF0mUB8sg1YahIBNUgW1Jyf
Q9hQeaXs587bKTCjepWm6gxFapE0qaTbhTPMyBjOFDJvzbcgTyk1eQuQqPI5e1UgUw11vU8hVXEU
w9uRxFdR3wWunu8dCbTSIFu1EK5qibrKWbG2icRfKfQ0Vz2eephtGaYVBMpwgYxuzcd7imx1r0qO
lqHVB9It3vPOi6nbTc5wxXso2VtuUaPhlDyuBjAX+v/LUJK6CN2hdhMQ3mpHfZvAeRmS66WZ5R2q
XzL69PtWkr/0pEdoCAssnsWXDjjYLClhTVofyxhumNc4BuN4WGJh1aJGBDXgmOQtRwDHioiuQt8Z
17DcIva44UlJDcbKUMrYvwuESP1HKglmbgKE1AFqVgI3cyTlrDYxfOWSfGarZIXUkoY2pUMZJLXO
AWAEzWHWy6OGRNDg17mqwKlZAiRsoRNyWSCL8kCuKZK9pot676F9OOW90NacWA9EgRKarTVAL4G3
Rf0XAA8bD3FDUggMH1PTrb28fAwl9y1s3JIDhHZoJROuBw63AImrE84pAmzc4JhfXMmRc9Pkw5Vk
uciEMdf03h3tiA8TtIMKagbBkFhrYOli1E4+mt91BbBu1Ls3TRLsWrOXuNNynydZ4Ztg7hJX9jIM
OttmBwPPVFRvbYHFowa/HzG2rBWAebERQ+k149to6hu/cqJhXYactMy2DUZ2QMw0Od9DeqtjfuX0
MlJTj48ZhBNa6PZHmnovlpZJ4De9eARgkLrDODuWyOnXUQrpjHXlPpobuAoWws3MuIpyx0FFFQtu
1ullTHPuHtFAahd8H7CCnzM7ZC7D/j2m5bupCXsztup9FuX3HeDV1aQwUR+j/kiu1UevuM8KNqiV
nUGyMMD0+tNnDqKDQ18HqD9n+/qzoy/Mtgl3Nd+Gx2iwubMisayoK7jLvTy7z1TD21vLlJ5tQ9w1
DeropX7HpbJPsjoHw19/1fqmQaSakF3auwy8BP56MKSPptn7uR0CYLEfCPmatnM8p5cFMsBEUW7a
IfVkpZE35H/Ch/RH+P8KqCi/9epq3eWWtVq4fyMi66bKOJqwAajFyFJxgBPxbEra/Akl/lPsWu8Q
l5oVy1pD80XbFHm9HuP5gnL2VZkAv6JuL6zhORpMpN6LcdOWWpDW2k2lYQbSlJt5dsjViR70zH7u
yPCrNPXCE9GZFvt5LuLj0kGCHrI14cpfhxE/AoAvP+v6LChQymcNuqCuhbzkWvCAxpOD2bltSJkC
r+7HiUUorkezLHWVVagoV3PfIuj3siDUu/eOyGy9mR6V7t0auBNH29kYZgqJJcRdTWsoFBSx6TCT
hquOs/PgROO0bRpIiWmEkN9y674+ZSRSFJUJ434hd3osI2QsKevWKqvMmvBSazG2/Vy1azenLnON
4iFruk3biych8oeuUZ7pORnX6mAtZza8ZtPmzWuja/u4Nb5OoXvVLARnE5zrl4VLxzJbNJ+kWRdr
E5LGYikApxXufIyK+BZU51uqE7QjsiG/aJfZodjsGeSUwCzNPn4udX6LIr5Lkir1PUM5DGP3RALv
cusqRrEJ5XAOQAsA3YS9Z+0Bi/EHJbf9bqjBQfUE2tmpMfszBsggasnr5invHkOvG3yzd4odT7Pr
N3nvm/Y47katF1vEzhU4imreilKNqfYAQJAkl/CwJ9ZOoIDaUcuekSTddGYME1PbpqMsUJWQsHis
dout3VFqPyEevI2s1t4zOH+qPMixZrSEp7/fdv84w1CZV2L1sTnrOAh/f9507XyokSQ0w7kiiA2Z
aOre2bxri9NC+k8DnZ+rCDkv4aRna4aGbsNBKCxPXT9IJrqumnpddOLshlhTH5p5Eyv/MJP5p0vI
P//hEvA98lwMuTjXPJgzLfJ4fDHr27//zv70IoRaQ+amj6fLquvHi3TQfyAjC3E22rumupwUstT/
YV74x18LX9UPl5DzxB8+Rz9UEFjNSZxN97ZoNksBdURclc5rOv/DleRw4eeq6+cryXfyw5XyeLQK
m6SNc0OGnlZiNdYPAxGiYzAWpBkv/zA4/OMgVJMAfwuTOxJNcI0/X66P0mlpe01wAnrSerpY9l0U
X8zFf2eNbwMxjar4r88aF+/tn3Re5Gu+nzNIi7c1m2ml7YCw/PQX/nrOULER0pOxEK3ahu1wBPku
jyUS/rP4l65A13Zk/f99FmZ+psWjq0J+hNsGvdW/6Lz8kYJA5AR6J/o4NjNsjgM/3x6OVkeqFi/9
yekcpg90remTx3ruO43pEZzpvgL9F5umhqemwW4xATt27jB7BIrp6XOia0N4FYfV0Ow5atcF21kq
1IAu+uCca0oqcS5FfaqNLLlTqJs9zheLQyt06VCgx+mLAQfwei5BoNRqqGtBxLqL9b6EXOvr5hJv
eoZmkd9YU4tHLFQKmuLaZ8pzEdNvronSXfRp8Y3B7pJuo5dToh2KQizVbbSgVOc0EKaURShZtp4R
0ZhxygizWG/7bSXSrZLNTSCaUCP80tYCMTXLVs3s9gFp56DtMm+2l8DohjnyZ91bpiAfIHBjgQgV
2gZmrXR7tV7s4zB3ceXXemXfJraND5HmfAoZYO62Wh1n/W1m5Ix+wCPlV5Nux/q2cfjnGaDz0yJM
7NU1bXEow1NcOfsGy74afN6Z/3VHTda0v35Eb/vXMukIIO7+2BCQr/z+oOoqLU0kzjyO8mGUj9yv
DyrHfv4IJgc9gc9m568PqvsLAkdLJ5wNcqr92bj8/qA6v8ht1/aQTNqegwby3zyorNU/7RtyaK26
DMFZD5CBqKb6u4VcoYDK2imvrgbApcsx1WsrPZEIJ2/uvsjPDkUbAKrcOll1cx5i94sZxSJo9YKT
KWNa3L2Xjd4+53N1yLvyBjWj3yucII00PKLHP9YTzNrSEdvIIGYK9fNlrIrHhRPJZ2ev4tzFzM2u
rq1o2WgF9XZMrMrA2YcHdUD03qfHHs3TBDAYGdtYam+6gqJqFEyZRTS62h7FQJscKMV7kpc1hUg4
IFJgworaSG0KaNWoQUPVeydxCp4P72Dn7mLeGRy9k1UIBXzwPS8in6iVUUWpDC0aPvOLxm9ZRqQa
OZ/5Rvln1pHT0nzwPikaWemMS9B80jWI/mIamMPcGOyCGAQOrQ7qGmIYZCqJB6ADUkcdVqHvSHhH
KjEexlAdGdA0a73rOT/B+mgWZjcx9I8qHO91aCAKTG5UAjcjBX7J1NmcS3+EHjIJ68ob7XnlwhUh
KQ2WbfJKfs0FeBFlVfXDEQklaACYJG4MnKT1tJtxUPY21JIybE5o5T90pmaFInZ4MQ/QfHcRtBN8
PqcC+gli9zeY4TcegAcdOgr0VT+GlhJq0ZWNLZjAhPo2h6eCrtTPydkVcFbaHnLkJPYp/JXCsaEz
0Qp3uwPjcEJCCjwIqfdRMkw0IbgYkFyAqW7pHTCe744hpBcPhX+LDtWhHq8hwZSQcpaquGIUvPKs
5VR2JgYB/XER1XGEJGNiSeV3CX0UuiqkGSJ9Th3kmcWwNgMkmtRKt7WtvuhWunEh1ZDV+RZVoGvk
rz5yOIS0jPEKbevCuEG7QdoO1JtBj/25SU+tjdkaKk6/KPcWlJwcTbzML/DrrNh3cHRcJAQeXB3P
pB9c5o/gm+8RTWAOVTZhbV2iZNnocHnUdAQ9OxP8Z05vI29i7cHwyWD5hDB92OHXLfPrCNaPkkwX
AvZP1aGCdef2vXX0G+aEN63EBIXRaF07kIMSW4AQCs3jjInhqs3VdF9kOaQhmjfyFDfyfVlTc4Xg
9FJo3FKDZ+7zsVM4qIjarzvv6xxNJ3Wiw1EYl5zFr6eGzWuqaQnkueMbTfPCYJzbz7D9ug63jBfm
jWKEL4hJjsKb4o1bDHfg4QJDMYgWNeme6cw38csBFjMKU4o0ALDWo1IyZdaOoWnemG0Cq8wkKDCd
+I2DUzuntbLtTCAD0DN3bGnKWumcdNNM2rFPh20WErwKu02Faxxwd/Db0hkkekN3JgR8Xpdmd6Eb
BD3GcwfjD3trmF0ajUy6FkFBqEWtM9cWTfGl5ry50RfFl2cXPw0BoSU9nvLc3VfMxNm3kVuWGAdX
4QIuiQypdaXq3lqP8ZHQgLnEuoc4p1fWhV499Y5Jrq2OnFgpltMgUTgZuk2jIX7P1XdhXZIynjDZ
LtPxxi71h96zD4oV7VxlyLGNlOT3JOJoeTQ1R5MVoFA46ng1JDK9CZnxJHWz4RB/WTWaWNH/vMqy
5n60aYzF8XQX2Rb3uwYMRAED5WZXZDbQT2vQ0xlteu+NRbn2ktij+6qIy6Uy8osY3fn6v73/2yiA
M+1f7/0XSRn9ybav8aLv2z5aNXr2FnU4aLE/1OeGhrFB7uJSxfpbeW5TD/A/xwF+b3/W4L+W51Tu
smJ3dKapDhK3fzUYdf6w6Xv4fF0cD/gsbWD6HCx+PCwCLO8RTTvWiWBEo73XWeO5X8q50EhWUuAy
uczzkmPnZgY2KntifinyaxVSsqcaeUG+1tSTTOOoIcGirt1hRa/axZ+dEbXPQFaNEXRdeBBGDjcb
1O+SXVdF9liL4gZlyMskdEKjDeNEWjoBUqVFcx8eNFqX+A1ONjEc5KNIXlRM1iapZf2wpaue8dxl
sy+M7jbWwqfag290Uakpwvc8LqLpISOxcF0kw7IdrTaroZvxU+11NeBZP5rKbO9m9EeJmYQId3IR
EH/M9g91/k0nGTKC2YNDi5wfrS433USzuCrI+kiVXQLgczW15ZvKs7XNUdpgSSruk0j5oh/rcj6C
vfYnw+HryRd6fnl4pzXudQG1w4NCni7XWm/fi7F7tN0oAEDNtO+/B/HzQTQ5vf71gwg0sMdN2g7L
nxThvPL704hOAXEmoyhp1tRdSf/7tQjXSamAS4MV/fNM/MNp2SFvgqKSvGI0wUhLKY2/F+E2ugfV
otMGS9pEqfCvinCC5/9YhCNSsKSfiQYxb+Xn59ELFbwsqL2uOGZWG222kTyThUOGWPmYtIYb6GlL
oqeO8SXPHEzQVr9vLO1jrNSCiXghDkKS7osYD0avDruIgFKL74PotsqAbz+AdAHDnTrpmwiZN2sk
ma/IX5F0r7EMHPRNGGFm78wGcm+1QFAaIeU42XI5Z8Door5it3oMU+OuKJLyypG4l0qCXwaJgFGx
WhwKqDChGWVA+bxrN6MnBKLqnWngsIl0RdyVjbfDznuR1pBWVVKclG66YW+7mqo6J3GgOY2MqyKz
2Vpqh1vCmi4Lp72NOySf7VwdO8tZaMAaADq9eB1G3RcyYYjaiKIxcJa5XRsJgrCkuSWpfBNPQLY8
k/yOtk32Y+68aBoBgwxGTiSwwj5ZIoLm8O4MU7GLq0Tzp2yI/bzNcEAtN2GkzTu0vHw1QzJe5AmI
msKKTl6dHBhlSVQNyXu98jVNczBgTeOsIuKFxSISEMOIG5SRcQjBsYkcHmyG3D2TlEx3nz2asBEw
Ab1xk9YO49evult9MK8PWKUmfhRTxVjrXmMQPOsupEg1nR4CjKGvjBqJE6ADFtSRtLDcTNb23O3c
yrthhFmdm0I7NlM6BWqj1UFiIbFEMa1vF12/MxeGYdno4f2y7lmxvEMzpoAP4dvZTXhSO3KZ3DDb
hEl+QRrhWYSV3+cky4tyU03oczUreaTINbflREkUyiGbl9PQTJzj3MxP0PI2ZkmPVsz1vjDGGypN
2pCLeOfKUzAZ+fvoNNpVCex51WjzOZ1cYxVm8dEblPByNNo3rQ3B6reaDiuO/N+YEJGgcQbPCuYS
hZu6bKzMCoFEjeTPjYpzqKOqu546bCYQA6Le4wvC8W/Z7le3dsVhJF0MiDTjFTC/WJFmyxC+EbbP
HkYkQs3KnckWGDTw+OD+7VrBVHWw+Ipd4smVIl7ujbqCTaBT/6MLvXUb+6LX5ncJ+/W1zLrJoeNe
2MsI4n48SR6F5pGzB6l6gdAWf02X2gOw6HydHEDuZF1hlB69jklRd90zXeVBPIZwL3wEyTXpTS1b
Fwe3JjMD0kOYdUYuOCtsYX41EW1dimjepFr4kdfhOW9nBhdFrwIIHKq1PQAHJoz0otFLNVhUu4Fg
SxaLNvpOWB5Eqnd+EurPKbHIJIX3/WXMDPNoELn2rqphdlepZr0joH2GWJnHTCj+252+lYm0xf96
d7p87br3P+vj8qrvOxN1ouTDYWcwdGTkPyno8LnKf+2COJAtpN92JvQiENQNG8IBihLmqexn33cm
7xfwtzY/kSEQ1aT+r6J6aUL9fmcCloDNE5QpvSEJbP95ZwLEOilUgOJqpu5ygngMUwaijjf70ZzE
AQHtF/2SRUYwA6vNHrRBQxpG+znp9/WSyFhpGzjRN/BoOun9gti+Livk4qVhW18mgCuI4wlplEBq
8EloONvdZGuR9/EtdmTuOoQSfeKYoR+S0O3Ra6iEjc1Vka3Sxo70heZGJlhrl4pZy8r5jDQpdMLM
AlPi41ahC2CzHzLyTz6jUGB1mtZ9rmEi2NA6Irleg/VW2ma/qwmI2E0GkSsfwnCnTZS6ixpEUcrk
BiOHCg9qig5K6OZvCaI638NxSDx4PY+Bkrc28BggB16MRVMt6FJRiFpvAGgR7y8FA1V1JozQagAg
WHP8YQsFD27pfqRlbq76IioCp+bPcNIhhRuHdovhUlzEEcYKVxvjVZQQ8w2ThiZEq1COOqQC6ejK
Wr8AbLJqVcASg0TdaHOi7shh54gLAOBVc3O4t0sVHepWyc/mDCYUVoUHL7Z8z5zF2hq5AcotHs0t
y38SqLS7VllEJrlpDfkZvhXgTDoIsK30VdE0InAVDAaRa7zHnVLtqLe5LUZCKQp28IDwRgevq/IG
0DTa2Us+rDWPTk/cth+OCMNtTTQU2t907HzRIpnOe51UuaroDthrUl9X4vTIeyb/BpL+IRPjOhlS
ImFxpK4sR8zXnhdaW+FVRdBJP0UliiwwWujGYgjHoFxa3qZrPOVlRthOk0oCLtkxoIGjVYU7ctXX
I0RBxrRbLbeba3QVCCgj0V87kFxXy6w1aIJmNA/sL/lmUb0p6Mh1X3VQC4JJcwYZd0JS4lRmOy0n
34JxQLH7b9n8VtT/rdDuW1G/em3fXtvXP6nrf1DbsXqC2DQl4Mpj2ZNhcb/W9eovLJkQYnTwl0zD
WCJ/m4IxuQaHyWHgM0qOUen31RP1ns3IyuV4/OkW+1dTMDkH/20ky/kADA1+VRc8KKo72/jdKduI
NQWFaWGeYiLMu9M0Pf+wm/yZ1E4KDX93BaYHGFENQvYwLjp8yB/P8UPYmX1oTcNpWKwA5PPHXJun
PExvrLb/oJbCPNYmfmFiQ9OUcq873q5t0mBwahriil1tK2FsS6cFA6repQMhPF39VclpK+neJWhc
XGl9JlYLATbaiI/80hj7BuFR0fEoTFi2Iyx3a4tTw7wxqnkBQqNa+ynuQnDMFBgGwzQfTIFDSnSS
f210iTRZcAWbHeirVo2UpzRH5+Zl5pchnopNrzkRtN+4kekUn56rK6d2lCB32yevZZvBB0e9ZpqC
ClJQDutVv9EQHK7mtoSNkLzASb+0dJ2GfjFfMh5odoTs7MqyX/w2bO5CK4fNmBwBxxisyeWLogoM
Sub0AUz0qp/oNHbFsmwG0/Wjur91UpKnYeAZeO0zVdmV9XDoEfKRvzVfT5l7SAmkXUVLC7ghOzSO
8xpqI0FRTrqLiMEYsuS170KsLY5JK87dQce6UhZeXgo/piTrsujgDc6uaKxLs2xIc9DHY26Q+VQY
sDCbnU08Jggt7yFNln6HFvnchlVGLmF8AWrhuW5opcxKejAV867PYYoS1EEPcIEvaZQVHAgCBgc3
2c/IplZWikYqTO0tMjhidyX2wPQCAfyB3wV7RUn4H0SdA7P9tWeOj2ZFNlZsnewOlVO/EIpk3sRF
iFMkLLaOOR5j0e6rWZDAlj7GI3iBwhMUkkAk9fzW1vBF92n+CA/nQQudRzscNlVLpsdigfRsX9hw
2bp7b6sY3XPFhwcfSGbavHzNcieYnXjdhpxhs+kSi4q7GpqoXlG480Nd5OamE64i23nhKSB9OX2O
wpCxUNenG2LSuW2aD5KVdm7PHmbUL0OrPiuKets5SL6yMIVv7q1VK39bsvA6KzhJxnN0yaQ022pR
jaBRce5iwpuAgsfrKCGNUS2KN08D1qGwTxID6VhHVyo1k8Sm1q4pti37NvXMp6HuSGDSQekSpMLT
k4pbVUsvlKF28U6JxrfwpK3IHr6ZXIJhhhnRE2YoMuZtYli8vMZiRZMqEJ19iqAscZazH8jTBEnb
hO5b6wEsjxm6V6uxtgee73YMaXzNCgNuEJPJaWoT+7Jh7OFDI2eEltXkrygZ8HKE6D4GnZYhhqIG
/WJ2q7IPwUe4Nk31YiCpw7aY1M/6qm/aCxybV7VZd/tyQMSqGUhbNb3pdrRS0iBKhksKNUiQWV1u
NYqIcFq8YJl0jQTrvA4qjjlsw0l+5eRqTutC6a4X0hrXYVh/sZb5oQ2NVydrdqxvxzTWirWnKYo/
58plCDpeAuYtHEvWtO7zqritrEHhUXXC/HHIyhsx4o9geHplMoNhZVm3qekbjjb4VV1eOA2pfTjf
+e/FdTkgWK2ZgbFGHSLEizmWjXRM1/XSX+apso2t+Kjm6mMG295AGy28MOekm70Qk2atugSSlhva
F1pPNnZoJs4bJlgCL5cGpIfZiOIu0wqxQXwGOqFK1gTSEWDnLhma5aQ9Lm52MvSaoX93rTVgj3Pk
amBG4NsKy2fJ2+taOASRYbf7fB7vbaW+A05IVA7heH7XDnEAfKtAcwrHQah2BZIBiSoRlx+cXlV/
HrD3cjnGo7VNbDuKgJncOwchWxqTRkaewJaln/ZMwxXA4N2VhZH4lPzeYZjblOlcdCqRmtCbMNz9
kOlkgVbOndVUMOnNlANtoaMHnc0w5BDe3NnhfOeW1iLZFmBWhqrbkI2srRwxbfoZVnmtjuW2mptq
nfPCVTtaw1Ob5O5GwpfIqEkEiTZm3O9MgP8rTgQbwy1afy6qZzmnLQWAe2cOhu7/2TuT5bitbdv+
yovbhwPlBvAibuOhyDqTNSmxg6AoCnVd4+vfSPrKpmgdMk7c7unYcsgkkMiNXaw155jnBEhzl9bz
nRwl/oCdwimr6K7PVGKHans/zdNADiOQ5DLIsEmjEsFOKX+FfKnRiNTrL72oFK8qEUClEQPdjPsK
Ya32RT072gLVmFZWL9noS+TPkD+/FvWoG1JiF2d4HfVDW1PEuQj/RpGl5jnHujApTh1VOQhhW0OM
V2PTrj7eBbzK1P7eZvy8Dk4ng5I5r/37TUBnLiQvRXRts+zYCvWOWenSyvNHpsvGGWebL2DONsNU
rTIr3bRqdCAsHb13sWemOhhBiwkovYqC/lrUsq+RGUu0llOEARG3AiwLr4C+WCchh2zX/joO/2YD
89snRJ/DVDBncZzlhPv2CRl5X8adnRankeTncL6Vk9yNysPHF3k9ov7yfGzcaSCXztkuaCpemyFv
voeWfO05T/vhVIVRCzlH32qcEx05QM/KoRV3lDR8kaqsvCpsxqAtb0dr1J1yrpioAJQvSY7Acemv
+kizb2hIkyY6nCQZIwCYc5ZyugeOUYanmFSmKaBcOaq8NyLHGU5Y63JtKNlT2mU4WkE2L2PtBK0i
/Ah5uZ922rPUqKuzDIlA15p2ik4CY1lr6wQHM87piq1NJLb1or7EOogX89xgkWNnMrPjTFUPofcs
bWRlTI5yhDF8mXrOiQqFvcjGT63E4X3QK/ltPRqsH0p4MPLKWLWi6jYCXNtQssQpFa3MBM9sJasX
UBULb1rQ+Stadgjkpx5eIJ4l5sWvloS+2ByVzZzoXzPihv0ChDbeTWhDnPsXna3HxGvmoX4vvUnK
N02XG2hEpl0vD08ppMRnoEtrKlQ5JtHoSMOYqmhbr2KthXyoTte5ENnJ7hVHEcu0r832z07J8/R/
w5fyN2OOUJFfNs2v9XximTX6bGhfFJsKyS+jLtCksuDv0KYp6pNmt4RZVEN2EhL6YebTx7AlsJgK
nquIybNibNPMqEeeCip3aNAbNWyPHdXNcVGPRml90fQiWrWwvVd9L3NENlR8y1gHiJYbLF8uddiG
LOreCKnUg3bIfoSJSM7LAtJgfRPm8eQqUVuyGsB36YCSFrR+Rb48N6V4sukmuINCQnGTq3dCndk7
IxqjkuyJsq2BGBIr3YziS2IJ8K7qd2FOZx8A0wDRY6KYbgM7OZhEhNWldoN/nhFSOf2s3hgDFvIk
uiHx9zo37bWYuy9WSt2afaPsi7pnL1gPnK85fVvnEgbRj8DCVVYOIT1JjAm3srWviiZ9UaKh9mpy
2v3IhGS9SJMjTSVuiGYto0wAlIk0gLSXaPD0lHgLyxr3JnbEEcUFyzwJYll3qyHos62JE/f8pI3y
c601T4UpfCz/hOkUXjqkFyV+ILMQq7HUvciMMXAXpqva8VVaSel2thas27MvssDLKzY0dFU4l/Ay
DpJ9NdbdDyqsAdViEkVoiXSUhFywvp4KKpM+7kG02jpG+EDrkVIMKm13PO9Q6QwcJCXwU2V8KMvO
CSWwZJHuhFG5UlNpn7OKRyOdfSWDWtuuKM8UNnmcnnJ2UWTBuIIy5xdNXiFKrxMvQz4IHmK/gE4g
opXEBQWuUysz6S5gPhJ0JQb0iMBSNmHR7cOxPhSWwa63y6SLrCLob87MnR5CFXhNVKBlSu07JptJ
xtNSjUep5ZSQCTfRcr9EBQRo81IYvpmO7GNOeKLEvCpJ2zGHh0omDDaXj8LApjIF+iGJRmT0QQAj
U4Wz0dJGwqcaFGvynr2KfcMG6nrrgZvaNAO7ELM8q3+puQxBo3yytH3ypmrvVKRqZM+JXaX9CVwH
9sxjXkzuRO8jGC/S5qhwYvl4qXin1j53+t7ODNq7lVSFlcLpgpmhLF8U8/swIbw5FOEXkok+vhCu
vbcH9z/nICSBugqrxkQn8K7hN7bdQNLEMJ0WBYIJBqbWpUB/a7RhuY1KiTE3DfuqooCKsUQ5WrVl
kFyNF3hJKEeO/F63VaQfyPmupkKD/qD19zBFL0rZvMnYvnHqweul3kA0I6IS13LexY8FTgApyqrr
sE8HvM9Rt8bjsjdwAbOx8GdFHl22eOui08wHW7VvqgV4vmbseq3bxpq6h06zNSr7YkzDfcOybUrp
PlVJakSeRzAfScDKQ141fpwF27FSSFLA59YZ+RNJxYabjeHXmqCLB/Ucvqm2WvjJU/213vLPh3qu
Zb9Z6Om8FHETWNPJmh6j5dts/Yn5/JdLx2e//93CIUvI/0SYzqfYuqkS6CLa3SfD4uNRId6Nv1zk
qZxCkDgZ6mWMaZnHJCNx+vgiv1b0fz4lxCRsSZVzXN6vT2ky2zFqdT4FhBG1e+7GnD3JXTyZn3wb
6q9j/LX8RSYNxnSKX2xNlXcXmpOYntVSEVnpKM8sat5ttgo8yR+c2H1wCudhK9zh8O06dqP7yX/K
/Pkbb3S7+YzZpp7rbO83gG8X/HcbcRtWe2WHTCPdavBkV/anm36dX0Ur28dQ3ayUNc95hQTPQXnp
2yjRfP1UPH/82I3f3cXbV/69QSNoie9seO5fpq3q0+pc2ZemcwH1MfLWD4Z7IHR+bZ+i1bQpbozN
beChJ98w7znLurSd1qN05tkeSaKbYt1eRA5optC7Bzd8As68Nrb2lmT2TXOXr24+vnW0//98gG9v
/d0DlNQ2ziopZlw6MHxW7Uu1qm4VD966R4q4F/vFKt+V68vng99vDZcDe7KD9L4DkuOy+PgwB74H
7v3Hd6X+Wvz8OZD/mkPFu9UBL9jQmIK7irbI/91lk6+DW+gnKWFfDrJfp3FpLKytU71RHymk+R9f
/zx8348qQYft53v0brZhqpHmtpqnk7yUvjmO+0VKT0OPx/fj65xnlY+u827WQWGqDcOSgQEPQS6P
z/K0GcU3MohqGWpTtfr4ar//qv/6VO8Pk1LO5G/USX+KaC3NwXUVXv3vLvDuzKdNFuk/OQeo1Nir
CXVA2/Q+vsInX8yrN+XNMiDllVWYyFZOJW7PPF1V6pcF6NXHF/nsOb2b3Fola5MBTCY8hzMIO3Pt
KXE/vsRnn+PdAOvLpe2JeptP4zC5sTjl6eQu+eXHF/lkdJnvZiURhNJMcY7VAKWcbqNfyLoLTetd
EzlEMqrIZeJPHt1vPxe6VmxL8A5s/d0lLXRyQRV3/UnPfzTJKtUiinzrjz/Wb7+eN9d499Jkod1K
pAJPJyPRqd9f5fknVYXPLvBuSlzSfMKnXg8nmUmbYjQ2nE8e0+v6+NGLf15Q3ozjKKbpE2SMY84G
Tu2Gu2GTHjkiuDvEzn540Tv5/uOndla0fTjXnD/1m0sq1P+UTo1Yo75QGC6YVYkHcWjWPymHZTs4
lws4Y5Zuw89dhDJXknPd+edV/fJrfantOLUT5+zPnbOBrrb+7PZ+u5C/nXLfj5y4GWUl4KVTLs4L
ueS060zfForrpGvdeyicnezM+x/yNw5nzd28hwrwyewFW/zjJ/Tuex+kVkQ1fO5T5w0eitfFUclw
32fetX0SB23de1/VVeAUVGxXOD7W+J0/maE/u4X33jrs6ZKO+a07SfvSIeB+cZLvxkrxzH3/Mm0q
Pz+Ya+zSP4jNdqd1ehF6ycsn4+T3S+/fq8S7cZJijiFrnqHZrKYVrAwnPu/qtql7O2yn7RZtobOc
wAE+AOv38lW1Ni9hvnm9H23Bpz3+Dzb1X27MXw9m/3hV/n7djXdbAUuy6Q0VTCm1r6/FWmTetFpW
y4FoAucZpd8qda1ttaGod5hc88632B0UfrdOVzcxgNds/T+bg/+Y4hTeub9KvN4T6tuXoiOp7fSU
v/z3fx3K9v/8vyJ8yV7afzbuzz/6l+wJ+yoVa53mNdO9fF4DfjbuFesPW8cSR1dfnCGvvIE/G/f6
H/BrqOPiPCYB4MzC+atxr746W1FEYZozAbr+W4LcX1coCpxnjiumVY4vlAcJkvl1Gkwss7XGwk5O
fe4vBsmN0VqvH948mMs/B+dHgQB/XkUDT8nJSCeLy+AZvJ1sa7SWmFRx23VlEmdeackFAcaAuYjF
VFM/0UiqK2dVIZHAKtwedqabLcF+yNTkWq6iqywG5mhE8WGU5d6TFcmAGElUM+17Djkhr5qab/sh
IoTO3lS9cpCX8aqd1WO9lPuJZEVMuTs5SYE9DFCqErkmmOOsDAJyPeMjsr9Da8d6klKcTzoCAIBK
/YipVDuIg9jSA8OGbBvw85MJBZH0ykDsRmlhGz5OJibAlnakTTEC0CeCr7QrYKuo+n1Aw2RtZob2
qOYwDEm2o+ompxEl8b6uMp++UUqdTQHXYKVAzkK7CpItzceObC6NPgTh3dPa7FEc4QmMiFPWKs26
X9RaAOpRs3UjLcJYK+UI2sKtFIQjNcrOvJsDR4bQe0EIgnTk91deS2R1euZ9lFKxtkodNWwfNOi3
cCo3phVvtExPd/1UC+uS67XaozGHJoajuRxKFHDaNbpNY7qMFDS9dTjbe7sR5g4mTPhVFor+QKgf
xudsJkSqK3p9a5UQbOlaGuOCK28IhIuvyb4rS9SwAtuvL1FCJlZwimirUa6rQ0oug2oMlMR70+94
5ociWNqnFu3pNJM5PU+W6th1vJWAs/jsubBR0IC/BvCzS+Q58+1Ssa9D0L204qOYVGw7WpUVkStT
qpO3w7pRxw9WbgwHvroBOXC8+E2H/6JFKIMNeop3Amatb5LwsqYEqbiFHeinlh4SvaG6XQtt2Ix6
AYpmUtsrGhYK4rD8GBfZcWhajoZNfKWXBlk9PedFkW2I0Ei9UJMvCXa8of053AEosX5ARSJXJvXE
OIkfZdx7Rt56aVArt7KEhlx09NTL1LelfJVa9KwmK3ToY3xv244s3+Zlxq2GW+PsEd3ZaEmYQKAf
LWt9IkLHGjzN7jaKoR4WoD9hM3yTjf5Y59IqGxWkYzTJ+vkZaBuSs+dA7hVvFBnxnyZMy9QYvhoi
/pYtQvdFm7a7DvcpeR3LQc0JGAjVoyCSduzTrxVfX9uR7E2LwQ8Ggfbd2vTy8nUKWj/MgQnXcu1o
AUoGpS3kbWKAmlPmyDNM85LPeE2Pl/ZLvIQetazW1Qc5PkY6zi3UIlddRrIQdex9qE4M5k5ZZ/XE
iTdA1mbl897mJZIptKs0sibLOliVdtCn8kFaOjc1zJteDa+KujqY/PeAxCfvh6vIjneZWvlqkMQI
HSdHnVNKd6QBuX1Tlm7YyKdUSh/LVHnE9rgjfHRfZghfeuVqGRUvU0Ey0Xk09MSts3reL6aJjBJ9
HzKC55qGCRpujyjNmIoFVNBl3FnlMtPRKopdZ5Xf8xnhtxQVmTeHwF2NSUvXtV2t6ZJJ18ss1Z9s
oKhQ/rKJe515EWa9AtfI6uPfv8680azk7Syy+FTWqeoPmT375jCnHuEg2aHL0YmbQwBGOsoRPC4v
SlW3V3WdyrfWQoJJOU3XfZMc5CnwUtt8kKduXUfiB0mpIU5J6uhwlMFen5OKFsZ0FsRuGRiti4Zl
QS4wqJ5pdZuhLL815tK7cdLeqyQi+mBnwN7KMKCywh1rAGhbpUqpFFF9V5JmrQLgzdRy3ebm9znL
b6CP7fog3S9ttqt7qH9VeUAYY6+7cS69do436hQZbgs2WOAwWUV6sg55Ol4rt9f63CtuFYmdHNm8
1yAMIJEp+DKb6Q4RiU50b18zFtQLnYRPtxbncPY4PQ7VcoraZJuOxtoAk+TFWb0NCrypvQWHNbeQ
viC5McLqkIUEnpmFehETYpr1+YZ1DSBZVcINn1uCtJqLNMmuYcxQ5SqGzBOFhHiCfNWgaS7pCA5s
bm1i2zE06rNOBOEUP+GY38cDg2ligFrNssIW+T2tZXAIdBp15WuSz16uQQ229c3IPKS15ffSNg9y
LaNXs6XvAZ1Fp1JrR/SQJdMsJ+qjOs9l3SE2xRdVzojHmIlul9KvhF0pbtLOqa9H4QWhvooHNxTR
R5VYGzVP+nvyeMc9BrHmmCFC3X68Sfj1lPk6UAWGIMvEswR66n2CdwLFc2qQFJ8CZD5asmtoLX58
hfN55Zeds0aFVjtXaM8HK+uMGHm7CdEEYZuWHYanTGBcFRdxH2/i6roZsbw2GWWHemUn/sfXREjy
yVXfnR/6Ku0qXZOkozxT61RV2s/8gVXxC8Ls+RwvTPvCMhCMaduhL1J3mAB0ZgXddlmNS7doli+l
ZB7iTpddvCjEWI/KNyvSTS+Xkzsib0ePQv3ezPSvIkinnZJpomc0FaXfL2bhW5WEJLICR2UW87zt
J1P7VhaknujItP04jp8zxiolNhF5zMCz11lCdlHD36BsIn9aSu8IG1O3eQjTcO6+JygrWZRusRut
REsHDb/5RpMjyU9kdijYaIr1vPSyW+cCmc5ooH6Op2s1KkjvjCH4a6FwDBsAWTsg6hlVp61iom7I
dRn122mBjSanO6Mr8UKdkaJxoGVu0hHrJHpjmy7JXkVXVsyB6mmZTD8nSJll5YdBRpMXJzl6x2ld
NPT7g4URLCM8CNFaIIsvk9xyqiWxvCYLjhXCpRCTv1ISI22F0w0wFDZwlXTbdyn6KY3m7WJ2a6mC
Va/05ZMI62Mj51c1jJammzpigXHeDJKD/WZjFmjWKkW5K+ZoMwXT5A1Nf0KXpntJBauWEGKrlnuX
pHSnNvR1WOkHk6zmT4bbZ2P8fKZ/U9UYdbYY+L6lY3IoLsOTtCKB+Z5opS2BUgeMb5H7rI6OsVOO
xeP4SUnlVU3wzxfsrMwRZFKCxPn14kBarCKF9nqsPMMpDqpbrXoMeHvpwVzJvnx3IbmHh8EnSGd4
4h/ZaT7Izi5eBSegFZ9VUH5d+JhAeNs1JMkG0b8co96fk2d5zDEsJ9Epki8hGDux/NAMm48f969z
1j+v8a6JtZClLkVRFrG4voQN4VSflGB++xlM0lrMswUGd8qvDzSfyAwHmM/iLV3WMPkbgz3nnzPU
f47vKkXkf318Pz1VT/88t59/5ue5nejV87mFw7l5xnSfa1M/z+38lUA8zzwIUA0rEwP957nd+sMS
Ohp4U7PZb706mX4K7glsNXAV8X6glWfB+7fsSprMrb1Zzug5msS1qzpiOwC3YHjPg+fNq97Uba4b
vOwX1TlPQFGBqjQ2ZpzKmO+UpF4HZ37NqNReUPXf5D54jAVCJ3nS960RZF6dSqATag8Q7dFYIMoa
HbFEoBUcOYwvRJyt5sC6lLMQCoXSq4Rdyut0so+jZhzKvFxbob3pE/UCirbuWDif3CZEM0usNMqb
sl91mvIiiQIzj11hx9TDoymYViVsMkTz4XRUO8OpJXmNzmIrGyMKG9W6NyvtslWzC8Mm8K9vCkQJ
2pDdp2JGcZuydhr2FRLOm3AEtANk2JuNBO18ViIN7fSXsQyT47L0FWZqrjMbw3qRGhIA+9CVhLLJ
pZTMlElpCCkloq2zY7lz1bBCsoWbV60I3u5R1Xmo8t04AztRZ99C9iNnhIBTDSSf1DC03ZLdJaH2
55hPDpgjjsqiIB2tQ1+GxKbRM2XLsXmvyVm8o1axC3ChsoEjKTtIzcOYctSwR3FTK7FYzVYDgKPA
9hjajX5BywhNaI8YYrFZJlsj22KaQxWiuRrKfkwKwWMbWreJZBnbWNI2+hy84GcDQKtPLtaM3GsN
lKFkyyBM0vVNGSF6JKlbvp0tuyWi19jmRTF5elhdK0q2mXTLdCODOIlwQWNVxm2wFeOAJFmm6kDv
fxUX4EiWKJ5J4MG7ZYTpc6MUpMPVyuCiDlOv7Rodz2KkfmRY8Rq5YORJnYI6ivC61MlAh5AEFxRb
gap5E1poL0boxNsKmOhkkhIyUDxzhGom664kKWhDOGEZ3FijBbtcRN9Dqax8LLv2bgEbhLaw2TZ1
eNvKaPHkTt3oEhFDpGf4bdQb/gA31xqKcl9YzbFt8x/lhNlaX8a9PA1fqnY2sYfF970KviQmwNId
gurL0FoyuejLoS/wYuey7jZWcrV01kCHNeSUYRyLc3RLIN13o4KmiqIG/CjuOtQvTGJkektZGXFS
4JriUGOn7Tox1UMmCKJA7PS4VMHFIKd3sGRq7NXBNlRrYz3MHbg3pY79JkFYHEcFe/70GIWAILIw
8mXbPhaZvemMoXRJzPweB/FdKc10SCT0A4kqf9fi6n4grlAKcXo1gOqehsbwJUX6OkATJcrWOmrg
bFyM9ukV4NpH3GD7FsWPubT72ahQ5ej7MF50py0N/OmlekS9tc7kOvMrU+y1CcNEg2xGUqNrlPtQ
YeL5UTVvU8nXZ2tfxfHKHljNgwjcTcHuKR5M6i9pdmWhQHPVsvlaSd11QrXJLaTlMjICXLxa52kj
yrU48SVJbJYWB0wXJLUrN2TpIh1wssg+mjbBjEjh4hwhqs63Ds5mP5gA4NN8ebQFvOIub1zY77UB
Ly6TktBFbXTox2WLf/2bapwPWIrisUm2nSpObrrM+GY3Ue31Eyq/ojbvQ6krXCUPeIlR3MHN7XwM
KhT07XNQUVvg0/iTX/qfFfecAvavV9zj0/eX35nczj/1c819NbmpkCEUFdMayJg3a678h8FirNNH
1QhGhAX315pr/sFSSOqxzuEOIfpbi7D4gwBDCJD8AMYxnHD/DkFOf1Ul/b3DZc21mA0RVuNDw4Jn
nW/i7ZrLzDa3agcVLLBzCsg5QsXWKJjhmhMRpA9VKjnV1NneEs87M5jzdZGHHJZ7RMvKiy4NtTva
BmeRsXWxZu6n0g6cxU4gmg9YiSXp6nxCcroSirCVZ/fEdkFoim3b1+PqWemJdO4s+nGsZoMyfBVZ
/kNJUpjmnBjjMHoUduZJlOvuOTzLm4J6SZiPgWsGJKhy2yWqXfaSMaFLoaJ+7TPUz3WMjZigScyp
yMVXUxf8IEbzBaakQKEpC98qE8J2m/imTKOrKSwQuI33TEEAvkXI7GhQQ01Z4wwhEUQqIp6ATcZa
a5bfLCN5xoBzyg1ZoNvlI/Yw8fy2Ui6ljJD4jAjaatknZQw4piFEto3VSyNJLuVCgw8RZ2cvConA
Gef5tdCrAWHk+By0CbYSpY9xOVj4VSMDKI6c3A7DfAkQB32o3BFMq2WstLl90+ZMM7ly1RZjs0oy
6FuSveyjzN5F3bSvykh2TVRijt4N21BBgh6WJo5BKyydsjckIGWt5dlkT921aUloBtYcv8fz5mKZ
03ZAQZMVAUPf8VLjtxkiglsLOfTaPLHWGguYX4XaQdTKttatajX3QXA1SwXo87qzV3PI+dXOcvus
sxVuQbrVVSmkddnQ1IxNykb14wwbc92G2tk6HlEODs2Yypu+IvwCYGiAhVsUwaoL68U3zcIkwSt/
7uyIpvWZxZABIPOzguPolAePmTluRdhUxxifgMcvncGDxDjK2A/I0B3iQOn8oSD3SFXra0qtkWeq
w+Qlk8GA7IEoya2ubRrmRBfqwjNGM82pWjKS6dNmTpIWttsHpbmJE5WW8WwdzVwHxDGJF8jfYL9t
5VSMzLdax1Cmijp54cBOswrpBCmSuCki7XEwU7TOVC2d1jKzTddOQNLDkRDioN2CQXuGRlY4Yw6P
KQ0Ly5P7gWFsm5eBzJan1jN9Q4LKVztRv1FfXJvShAJzao9SjtY0lCwo6CM561H9jZw2klVH/FNe
0driSp6XTt8pC10sSmIGNeKpmXNHG1+yOXqYQt55NbUw+iB+d2a2f7PWaZfmmH8leB7RmhWjY2y7
ngP+fD9R4aYWSXQt5iXHGu3UQ1A9u2laElfSj+sxgxwVlwUVwJiImCgUewIjaqe2IKnNRnG7lMFF
I6pDP4HS6MviR9zVN6oWkWNv7QcLt0aX7JclWquUqiMJW1cCja6ccYDrGQ2YvNGv5VIMnsLvPUPm
9pZGn4Xy6xZkv4pUjRu3w0076nvc9D9EZ67aFC1MaeogGfN5x1bjST2XVWrlvFmfuhF+/yB22DNX
1hROQU+Yfdc9FGE9lKspqvSFnIOmvNGQ999TPB7pBag4DIXcDs1Giy3jMUxLY9e1VRZeEjYXWtuu
lvTHIBRqcExIHV7nkO+83g4eFHoBvjGpDI0Aok/AeNnoJXLeMUGENDLufKOizH62O/Z6j2EUYgCN
uU0klrPynSjBEb6KY5fBlbUsF1PRd6iKlsWVyEDIkLfe9QozXA6sklJTpvp9mPwIG/OqEXK5kUbS
9gDybgjRyFwTgg1dFSr4w31tlMuKt3htBUBubUwotbxc2nq871PEv1UlPylnx3BZjBcJHDBlVDK3
64J2U2dSzFgLLuZUVt25IyxEAi+NAWlU0m1RUpptteLJLIfI19S+cRH9HeI0+aZaI7PB9G0y1VVR
E0W3WHgQdZ33MBuQ1kvprTwdOEV4ebqxDHoyy5r65loarIsQoM1qmJMfQovAY3eUsDWY/FnsgyDF
fGJhWciGWgNSMJJBSLR3FDD7NXkergoNI+fMNpXNZux3JZjgWc/X2iArbj7ijFZFfR0n5LRnjXkI
wKaWrQwYaBzp74KiryP1pGN39IxQWqG7J+DCLDjOYW/J65PEoQDwoHhIrOE5GUW0HqdsP4JRdaiC
7gOCNowaWXUVX8xGmaPhFbsqIGSuT6pVjHupaq1H+ufxWpPL0BUSEJs+Vw6FFmPVpq5dzKi6aQaZ
NmdHRdVfBHDS1bgw2WpWt09ySBq5mQr+x2nViGandxYu1ThKnbgxt+S+MD9rClRnPHVSfEPm1VPd
Y2IEoZCSqDSU0n2q8VXLREU1fdkx3QyrXAlfEtveGKR5lhJ/G1TWj25Ivletss/VaP26jfrPfvJc
S/9oP9nEVdn+rorDz73ZUWqyqWLmpLtwDtP+ZUcJzh0W2bmEgwvq7YYSWqCiYJrSYRqcFRZ/iS9A
ElsakENUDDqwA3aA/wY7/DUj6dciDkVESpXseDWUIOor9eBNESfBqqyaixpd5PKiB8eIosjjpMiR
tTWoKYSXJbPQbulr8SgifaTEKBV16oyTRCL5Yrb3dqSXN7YdGwsOmH4sV1phdg+t1uOyxWlk+iKi
PqLH0v2kQg6YQmhLmaqmrjqJS8si8ZAExn6AaJ/NT0jYn8jI1B3K9aK1cj8Q8lo9g0bVmT2Rkgp/
GggTkpodtfLGES0GZ9rLrRvK81Na4yiuxwZQGrYxiuPUhWaaiC789FVWDJQjChO7T49fKCRdfRhJ
VsnFtT7gyYoFiFiNXl+AT8RqsO8NylNd1DeVpj5GVgLZLWjGVVEkGM7UZVlbsZ27KBPo9+kGp0vz
MFjtFxUNbCqK7EBmyr6PUpbiQLU8veVIqjchBOCxsrBCp9dDXd3V+lIdtYbSy3IOfm8s9g8NiUPO
qMM1aLIW7qOGPGEqwuwAzgtyY/UFdPmAIUXG4CQ3L0vbzFDgpsy32n6DUHYt2/lGYQWrTMiuM3Zb
kl4mHKjqiukhdKOEZwArfXTBORubuOBP+jD12KjK+yJKvzNVXVk6uT5V9qyk0a0oOcZ3XaIfAsoG
cSVdQUsln8/AnBnkJVyAXhzCM5CxzCAWCHGrNzm7WMP8LspivyDcqGaLxrlssSoUJpG6Q5nAkpv2
BT6qTh4HvJ3FOotxskGhXtxOGeAPFPeJaOlTCgzKrGY+LsqbAluvK41B5USytdJrczj1540yAlqr
cxp926Uiv0dgMXlN2mOAHyhhadGpIB7mXOtjzz/3d82cfAuGkY5E1PSOocsrUgQfKLd+MQHgqo3y
lOUocafzbcjDtTRbqzpYLrI0Zr+kruzgksFanvShP2R2ernMgtIme7MC3MaqmWI2eGwhYMrP+04w
7BQjOZRqSRGg4cYl60EyOaUQbEUpKZkCV2rOuTwp0O/8QrObPXFfl9SDCKweGtqopg4KuH4kIg8m
tHqXd1noiBIm2yAu5niEoyv6vWTTRB9qlt+gvbUS85uQpmMj+hc1yG/bztzCZTwkQwrAOzJhb2Z2
6xol3wMone+ZMvKKLXCErCnrvaoQF3x4omjH6EvdQORV5PxCDZRLGker2k6/SVLgwsKTHTMiRyfX
8stz+gbLXrQ38654iATNgmzOVPTARbaXsr6CXDLjxiUb3DXz/AkwUep3c3altMGXTCpnFz4XoCka
yba1HLKiO/YKGINe/wos+4li7m4xuOioXiVgk7PA3kZVd9HCzdM1faNVWboivOzY03t1Ct0qVnNa
eLqanvvUCtvZCPRHp+1jpSmuWhKf2t00KGeJRDHguAcCYts1mpXEeuhz6IFhmQM/ISEai2EmY95q
ufuwKMFRT7p6Oc36js6Icop4sVy+c4OgEdShxkD4AvvY6WGpi/CaAMRsn+iJse54BP6YSdlGMaXZ
qZBKaU5IMIPsDKKLNp2kgbCiR4mPuZJBUyewkf+zTL8ijs6Ovn+9TH+FefvPRsv5Z34u0WdiqSzb
pKfaBK3gjn+zRKt/sALTLNFNwjX4499rNNJJIllYtl/XY7o0f6/RFphT+iUWrX7r/7N3ZsuNG+nW
fZXzAujAkEgAt5xJiSI1lqQbRGnCPCfGpz8L5d92lVx2/T7XfdMRHWUJIkgiM7+999r8R/9OaEHV
+YvQQq8qsyU4CpgTsEn+OPRRGARyjIjgQZTPdMNVkAbrO2UylIzNUa0mIy+YehrpyVRZdttgq9sx
KWp37eQbSwMJNOAIojiaWlczi2mt0mxYjk78bk2SCTpTlgvSxy9e25d3xUhRdVKlwxmnAoOXjNCv
x5n6TtA/WuvwilXurbooLE40aWJX7/mcUzrOSs7Yah10vrFqkKEz0EO7NLXabexZW9j8e2t0qYZr
sTGL2FzBnohOaUSxq5AeZCDZ0wfqPuSTGbEu9gVbkTHfKE43Sy0hi0rFNOYWw/U3g668XUXn+ino
MYQD68h2fYlokgYW5st8IjUcOI9FQx043pF0kbfZZVuN28TTnnoytsy32iVzlJhnUnnQW7FOnEBf
m0F3SGrtoivcB+7msShYZ3RFCLmQ4EHyJHy2O/F1kBRJwyL4EmCdrO2cMXUY9NDio1slGhL2qSaJ
dRvOUgbBLpmgImkye7cCKukGam9ljadFTTlN44yaNgpO+Sb0e30B5OOJN5pKLVne0mx1JdLxxZ0w
RvopLJ7SevPH5qw1eXeZ0GQKzId4akXI2Jo8MLX+dGUXvKWKlnk4+ucks15Mq/4y9cmr5kOnKMLw
kKTDSfYcYJwS/5ER6HhCe3MPyYHMKCPpVR94J4gziFKZ2MlGXhZD5q4LYiQL2wifymC6FkJcxJUT
Ejuf8B58syP5xcAUvErckzXqsfWiU7Qx7h3FtA1X5oXm4/VY1gb7qtSuGwra7Het4YndulBjtHHD
gZnFwYvto96lhy5mIOHYqHn4LC/R2Rmtdx1r1SzsBLPEM6L1uLPoA/rUvKltuwPMXpOORRuqzJKN
3ywXRdlIbzUKkj5LSVRucJNneYkwGQrGLDn1s/gEXWJnoUalsyzVRWI/zEIV/jv9Lp/FK465mDTm
vdksbEGQzFam3y+nWfSyUL/G0dxFsxyW2PZdjT5mzkKZg2LG1PhKzBJaLxhnZrOsRl33XoMWeMLj
SaRgFt/KWYYbanHbzcKcr+xLaPXw6WfRTmeyWactMh56HrMl5nhFxLuE1Jdaj43hn7Q+4EDJMEj0
0RaQEPKgl9VbfFRMmzA7ukiIIVKiW5R81fmalKXDRgtmSRmyCDqURCaa467SyDBOOBGtlY+p4CaO
quDAQposWte/6iqtwGAs1+boTZiDaFiwwN5zsByuR6PpMaeWILnYbrP5Nv2dXinBjrQQ2zHwvZUO
72FfVvlFEOrApoLWOjQymA5VbGhbUUBCKaryWmqcjadkZGUNHksts85mDK+Bp1+y1yLhLcOkPGgW
O9chIOgYl0+VEwcfTQ7ULORrfO3E8TuhbQVf0rNU/d/187d+rDma9PfrJ4jA/7lso+Z/Ti8Mm36y
lM4//vtS+g3Fb7IkeiYdefSAf7eUglil9YbWXRIFlqmzyv7uWQC47/Ezf0QN+KnfPQvEEDyHH8Po
4BH//HeI1R/tMrN6wgLP/wiT34f9+JNdpkb4abBMBLR5Ymc2LyKYnd/dmp8kDT4rNJymPZZ9fpGE
d0K98OeytswodK9MiaoGibPPw9bbDKYZ1xsnG46DBYN1hQuu2U5gpNfAp1ANDdx3tyYzJk4IFFcc
ndrxoIDRD3Nsa8bFy+xbXZWUmj4AJGkhkuhsH6d1Q0tXUfY6tKswy9a1JvTtMJdfgQQ11z2R9G0d
QggFIBhvLYkUmXfyHM/lWfPDjZFuQLkJwq25Dijk0BCL5s4tDH/hRxaDp7OMyJ/ipdvoGqi0UZis
TSn/b22UAgN8KDLdulV5yby8rIbqWg38FVFFGgjgGstD+GiVxkU4hMjkQMcXiZfsra7adpxF+lYa
C0dpV23YPdiJdVd5zW0NBD3Iuwdp82xxZUViIBKXFbW4kE4vw5BoQhAke6PGEhEM8oK55sLVMdV1
QbHVI+zZuj+jaccDas5TGcfjkn4VqnGoXIfTFu+8PGScTWhN4lgMS8sBwgByy02N9zAtcEUjdY0F
9kycGcBMBYWXahjsbW750wVjz4vO17YDI06lRcGWpqZ6FVkTzoWSlTg6Qiex1r4122fDcjtN9Z7Z
+k1oV+k2zu18FQBOqRmrs/M39nkz1Os6BLZWq4uQJp+FNurydeySZjnWUEpYRDcDc2pOotGaUzwu
eKwFWefvh7I6EgOg/yVGzk+US9GoywIZxPatLVhXwHG1uyYH+JX7nsmhUKilPqpjJTttic9j3yXD
uC1S/V3I9s2ASb+tU5ldWB7VKIswsaPrMncpRR5ERNQFwA4RU+3gJbGxxanwmmjhfpLalTKce/p3
tmmIGkKDDh2VcN4tEoyZe93lOYZWcxXX/hp/+TKTOFX61Ny6vTJXlcWNt3Nn1+jdF2PCp1BCTUJx
f2ZTeix0GPtRPRzsVD9P/NLOyI+ZC9tXQBYuta9mg71HG/aFmC4tX9t5zgMF94U7HTiHuRs7Dta1
Y99XEznJjh4gBgCtYuQqsgRm5XgOfJqoyf4QXk+8pzQwnyxPethFjUtP5AE7g1MV7iCKhstwaq2F
PVUbju13AL/uBRrAECTDyg6Ds+jgGWNbnaM90YUqkj1pJ/ZjnfFQauGd62b3UJ2Z8PQbZ66BcoZD
5WmHYdAnIhiSNdDbpnSKLkhCraBlUZHXCnUj+vjA65uJIc9Wy9lwtNIIKaEONyZ0+ivcNslu0DLz
qehd57FxC+wPwzj6DAhAHg2+A/duSI21qEnZaJEKV9VvWMJ5CKRGJlMmGKl+xhd2pR1dtWLiYJp+
4xu25cw6ZG7vFItqRiC6MwxxmrGINNs8aMRV1h3ERD8sqSWdIYpKeA0fZphU3YxYBEzHZM60b5Su
w6uaQYxBxyQfQyT76/E2m2GNcU/bMBCfYJNAcpQAHXnnV1WrUUk1wx5dK5VHfwZADhMmdIb2LyIA
iS2rEUwkvEh2VXf6DJBs4jHZBjAl4xkuOc6USVW8oFstY+iTbowB3YdH6UveZfiUYMqoiI5B9qkP
p+5PRMPiTQBwCqktfTLjdhPCuiwgtLff4JcG9eZ+T+xINbm7iJ3xsoGVOY7RMmbCGVfmG3Wgw7aE
qhnn3VNn+Vt7hhlNUfvcKLEp4XBWSY+7zfliwOe02/yLPQM7CbLfDul4mUPyVBUsaa2PvwThuI9g
fXbDcOxgf5JkyXl+yhsFFdRu5BNBg6siFksXamgPPdToi0PkTN2mE7j7BwijvBvrHOLoNKNHPRik
jCCoSJqxpJRA7wHVhOtwRpbGYDTRG7mDM840yJ27qosOykI6bCKdEW94Uc0IVC3Kz9EMRS3i4Is9
Y1Itvd7Z+Ld53Ky0djhaM1A1C51LZNodvukDit2TV3aw8otlSWkS2ZBdkmHzmRGttMt8pQ5vxQxs
16ZTv6ha/6sO1VXgF4xmzCtMnIOA+9rMANhYNASstF1ty2cfQmw3woNT3a2PCd117YkKGWCyWRSe
deiyvg5mlsHOsy6Y25oQaD1ItBVEWogLE01gxa5jVrZzZ2wtTMFVDMeWUuxn6RcX+gy4NWfUbZ7p
BjRY8Lf6DMJlKGytE7d+pKGY3IXunvQZm9vnVTX7mTD+zFBdekdeoxmzW83A3b6UfF44Ca9R0f2F
NYN5afNxVuY3Wm9PQBDp3//4503IbLz80yQyb0F+Y/CxC7GoIJWfcgb0JRgc233tKsaenzwk3ouw
f5N8/jYF/KtLzDut72SDkU+xTFouoVfjQjqntjxRQv7PL+PHscfvL4OYKXtDS9qfkc6m2Y64pqLg
RB8SD8cT/NBhuGMK+s+X+YtjnbvF9IZGAPo8BAHFH19KUMSj5SQdGf8MxD0O/Mbke1jdt+LcdwYa
Q8308De60X8VsxlM9PdHiXP69fW9/uswbv6p308QdHjquslxWEqbtoXZdfyH63nu8GS6gJ8eitfs
X/7jBOExcaPki5ZkD+/W3BH0xwnC/Y/DXh/COAhayeH8Xzmw+P788OX65npmRORyUGayi2r26QzR
jT2+RuH08Ku7hMJ04rPdeINgjobtBafMqOJX/EQ5RgXrDnsG7TqWhpfU6T+0UN8wFxGLyQJpGKDY
Mhx30X8xFxBAfKkDJhJDCjGYHM6N8NIAMafwt31Hu2dGXC8snZfWim5lN30J8ZsuzRSzB+OO5UB+
joqZ8mDNXuzMwcFheflmSs1brrXqlQEToKd1hy8VgUO3jZc+jbcq8e454mBETIK3uHGPbBaueYSe
wqDZFc7cbdiN12ao6xt8cR315t15MJ1i7VpM3hyTPWsGbNgPTPje1dKq2nivi7kDsDR2RuhnG0/N
48RIuet2LK21lfhbmXzDPGYexX3iDsIyWwZv1VrWGkSqvkBwiLDfjPvJYI1TeehCPp8ebO8NsQlk
9zB7ag9Opx6JekaUUTbDQswSeDv69D52uCHsYXzv9GLfGQ6dEzSae3r4EBhkq7EELFM3RaGp8aBF
s4fWOfWRczW7gIOifig0+6VtSTMVyVZLQINzRKjYrJP9uzZHfD+BLW9c7pBPGdNCKxDz0/SqFt6N
jPSXZGDENOiesbB1NiKe099npniKXe/KLB26Lbuc3UBrsCgPzgViwx0+tHwpJ52JI5PKPsdQY/n3
5VBfla12EdRk/Zo0xboXPg+ddlda7eUQDjecEze61B7ZGL6mjM0WNm6DZV0i4UxpQYdVU30443ir
txgMqIE+8jZd9jBKK0iQvvgwSlCs5mxjaqdN6cz1RQKHHZVtMnZxDAfOdorBn9Z58Wzl8slC/6Cz
bvgq2p7Pl8HgNwtyNnuqoMkzfaNZ84tXWxRckpmk5eHQynFXSPXWaZTMmqE14/ZojMKJxKTvDP2O
6WOCs4v9friA7hSvtBBw0Gi5zFy95CFW3KQpZ99r00q1EJl5o2S59spsN+oZrcsN586DH/TBldkW
D0PzRDTS4jv3BH0PDxLemzBIOAsqcV+wX7we+9rb+yQQF4XTDFvRcVDU214s28oAozIXW0Ra+cGE
T3mXpBZUfu2HfjyuVZZU031nF1ghbbLTsFMDPxG3uW/RH6UF1kMkYkpWjfZWh0C78EfBnFcQw+27
VerGMQd+bzuWfUNJkOuuVF+nh6gUzpqTnLEue+up6Ox4PU183dKQjzQONUl+twZZaltLLcpWgesN
t245yHmIexrC6c1E02VC566IQ270voV+z4l8ggvAxs8NVwnZ0NRxrgZB2UkZLSfd/RLZ+SZ06XVS
briRCs4gSfhax704FOc0ajclXbfLSWsuirIhKdGpgwhz4orJcJ8IecvdNUgLk0eP6/NQtfde4u1q
kKzLwO9fGikeisJ6zHRK00wfYFmKZ7CqAPwj4T7Y1ISRKUCzwN5w1fudR80Ss7wkTC/1Hj0d7wKh
VzbZFRvHUpPlwqy0dW0lH+NU3Zex81BW0TGtxQudtWQTM+ckFfXCbaET9A2t+ZSB0Kfwruu+8aIP
8Q3Y5UvevIotMFtMlTj3WYewPqV0wkL9DNcVBxo5aYIiMsaaMWVjheLLNPLVc6Y5d2/um6ADtxJi
IG95CpjGgbHPhd+qy8ROsUd5jiJxKAE5dLgorSijTtlx4xXzkYnDsHrXaGbfFF7FpL/1IoQ//Yoj
OWS+tB13Zo6sGfhftTG7DJPpXhsxRtFD9YpTN74dMZct677flY0gXjHi4HOC6rUv4A5oc5ijyPL7
yEW8KcvXiKggJy49uyNtsNNy896hDHfpl7wbqUMlV5voK9d3eWz0eycrafiR7a6MWR1K9eqZUJib
LOWz1mQt2+eU7Wt9qPEb4y1Kg3yNStNsGl813rOZISj/t1Txt+HqPGT8+x3R8T1/K16j/Cdj1fkH
/9gUmdBYDDDK1KvgQ5gN5n9sigS1LKBb2CTjGQLI8semSHzbSbF99tg9m5b4vlORTRG5RJ09FEb3
f+MgYq75w4aIXKNuW/TCuADYscx7n1PNTqoClwIo7WRo6bJVWDp0Mb37PTAOviJy0Vr6BvDCph6D
LGVIV9Y3Xp1p16bTaVYA0zZ3bgKsrZQ7G6O1ahuj/oKT1RlfbQ1Th2QXwXlsFNu4YkZEl8m0Dea0
RoOxaUvBY01baO9uOVYN667UvE1tmI/MJPXXoEqzZWXCYi9CJwUZodhqBLOvoeC/tZxKLODv18/l
XPZnBqmLKbezD33uHOK4thY9dVV2iKezabVta7Yv2UBTQlfVhIy9nHIok8GINh7HAGZk5thr3Avd
lZsz2Mlq5k8eTLZtPY7hggZinrQJkd0CkIbFN3nt4iLiMVmX6wkGAo/z5hw3OWaOUUE2du3x1jC+
RILSgwbWIY/6cEUQ7xp1A9HJNI7IbAWu3ojdS/naRP1GuvhkhSI/53Z2v3bcAdSA00eH3KHKwbai
YY+3Vl83dsV5n6FQj9tDL7hnQE14W7STqOgEswMPAg1dJCoShwrxCu9hMVxPeEq2FIIn10Onn+gF
CHdeMtdL4IIY6ZmZog0ns5xojZWnySJmtrOrfSTPyWT5Ww+kvFbYqbUa2gVVsQsKZf1b2Orltovj
EvEVW+Y+r7sOp0URHXypucdI9OztlOcT3uKH86PBlODaaMOnNGScEebya1ADIugbJtiG8J4SQwVr
X5UfeKAykmHBJb2B2cKNx1OKFZva6uwjnGxGj4E6MdoblxmFR0tRu2hmbIFZ8uS+7irnQHDHWHbx
eBvGM3Ysy7aCEfvWq/ECDzYbFTH2Jm2UbdnzByizZTdRd70pjp1dagdOlLSs0/N1tu0Gjy2L7Cy1
DiznJi00K1RpdUkzLTN4PminjpK1TV3Z1YUUOEy0grKgmlw6DIt2a4Xpc9rB+KH5k/aZoTn0A8WO
aRcQ+BK+e5WwzdYy783UmksZZ9dF2977mnVsSlaAhamVVyM80b0p0RpoO9xpNufpTNkpHQC+v3bd
d8WcMUphPQjncgwLb021+rYagHvjM+Y10wifX9oohjSKXNhGdJmFuFSj1vaPuYvxPJMlxZthcBuO
Q7CvwnRPc+QuqXiT3BCjUh/BO4ipkMG9/jVoe76BMjrRtNixU8IppKkuIzpYLQ2Z7j1lr926/prV
FIwBQlkW7od0Ih4t2QbL4aZMCGl1TQHtRb8pG6p9ypiQlrjwerRCQ4E0UET+MfLeu6l+wlF2Lzvd
5UPqFZLcDNXgvjt9lJVxY0/t3mndlYV6wgDPWuohA1ctWVJV8DWU1lbW3brBBrGIbffcUITiFuab
x96KY4/1rrzxRmgDLNmqpJlz2miJWJa8x7AqoqVAYAfKsewmnX2dn71ScXaH9M4oPYn3FI2cp2I4
ZQisiJgUpBY7JyvIgnL51Nav4W9f0fa5NMG35H67QjNehJO2xcm2w6uyzEr26s2w0ewZe2JGr9Kl
1UArd1rrsalCZS2LU17q7jrX2ZIrE8hEG5xNla6iLtgNRFezQrvkfLcZ0+hr1ZrMTYdlxVeEUckS
wPiK4zZqdPpep+8FhRUDTKjY1dl/y0XU5482sYVmslaG4BqqRkkxTwRlbhslN3gqcVwPN2Lw7tJ4
oiIqTSlBIsKbCeqOfAwLGV4WJuUbpnAfIxFznnAbUj3LJnRX0h3YZTfh3qIbloKkR91Q+L/cWynL
RzdsbgKOpW32lo/le6XrAJwGxCQr2kQSZK4/rpJArEN9XAZWeE11wrHorBuccB+GphZmjUzUY0PU
9Z3mdTu30TZ6mN7GdnGpbOMe3yWQdRwA0i7nvoqLRm83fBWvGs/dGFZzsHxkpaFaM3mGkZ5TGlox
ocVd+9q3xSO/ihgTtdVjI0pw7mT9nLBfjnn/tcmbZe5qF6kq9pPmQN/CRdHVCZUXLBLM0qsl0SWE
CulsTdV9obbmWVXEiEtnTwINo4nwl4WqdyDq9/qQoSrYHria7rGv9S9FHd8UmoErf8AKh9/G8NaA
+naOsvl0OhR1d9d5kV6UIGY6rb1NI2fnDv7Jt6Y9vTUHTiNH6nld/DLRJkvHc+nPBndKXnr3Oq4J
QhvDUwnvb8QGRBGAe+/X8rqpm1Pe2DftgJXNNZrb1rZXXUmspJ4wldrpZWoHhxT2xKInb1XPD6qp
eBwTdWHW9rYsSVaqHvMw5M1+3vTk2O7z+7ocD4ZZXGimCE+ar/svdGCmt01DyHgyFTtTnQ6Hftmp
hIUnfiO9ch+rDGc8nBwO3upJQOEy6QqP6WdOIuNNZhr9S9VjUod7Bronnrd0L84VVGQ67WlmbKRO
wkHJeArtptx4VnKX1SoldpJsE8s4xwlFTIlXLnKa3DYYtXZ+Ipe9qWXriANJB0LO4TxK0tVcJSlY
njA/E8LZxv5wGPLxrdTKtdbEX1VtE1EjKYNVk8xS56zbFrEq1PIlUSHUvHbJaT1YDV6+6zT3jdqU
DcP4bdA5mwgJOC8Iy2cNqY1gmDZDll9w6LmolX1HFo61RpXLvME8ihFEC3vtkJuCzzo5BPS22ij2
qaaOE/7tpi5f4QhBUCLx6qeIDYLAR6az/H23pf2JKP5pWPxth8jpTTrCmqEcn0kYHHhrBNtcO+kZ
waxkUSQ3GlrLP19kHtN+N/T+fxehA0i36HZj/PTjGJdMoc5ozdBOA61dhJvap6H4CCzk0l9p/D/b
8DJt/ONKnwbGhV+MBsY67WS6V6HAy+lw8J72hXyI2+eokL9Aqvz07vFtAlyIU5U8348vjMpqDDhp
EZw77Vm1F1Xwmqev/3zvfvaK2C2zWeYylvicKvWpMdG9sQzPnYBDvG3HcZ2GBFOCbTQxvVG/5Y//
f8WD+a3CasmhBa+FYCj7SZ+Y833mqKvoHOUAcyy6QWdDwi9e049ej2/Hkh8u8kmhaHxN2dLnIjFW
f1Vfxl74C+HgJ2/MD1eY//07DaRTE/5sgJ1n8owSv1ZS3NEh/ouLfFIn/nKvPr37ZYKNq8ua6Dxo
1gLAmBedxazpOU9MSWVzMtvmF1f82cvC8ambji09G8vNjy8riVxa52MjOjvVNSLWksJ4518qVN9e
FR1UMEzoiiL78unW+balSber4zPVP+tMMiEDL5De//On+me3znKYuTGkxzjrfbpI0YeOE0XIUnX5
lMvLkJNizMPA82/j9kIQdOz963++4vyZ+vQM4hH35xU/vVmgtLy6NEbywwPGyOYL8sYvHgafQNX4
kEkDORRRQ4QRWIw+U8pw1NF3PBjZOb6s92rP4nmkFWttX4c39jJfR5tfQ5B/9oH4/lV9et6RDM8G
oA3xuZOwtghGmB4PhWL3f7l3pJB0Vk5bzv7s779NckK8UQDFzn7lLU2ionhQ//kK893//O6Q6+fT
hkA6o2t+vELZmBHpeS0+I/kvRtdkt/kcCcrQ4vgXr+Vnd+z7K316wHEiLmryFvHZsN9D99r2b6vp
F4+3n1/ClrB/YPfSQv7ji4kYnrtiCpJznp9sHN4DdiWzlb9YVH/2FeLD9sdVPr31Sd3hFMFxdY6S
11SDKchAVmzspF0m6qwl29T+xXv0l5dF9bnjgIuZ7X6GEDPM7rtnqun5Tpk5RXpW3baqn3u5rqab
f/4Y/OVL+ukSzNK+v0TeBdzQsErP/ZTjPQ5WIxPf/8slZhYEeGP8gJ9eRTwMuKg4aZ2b9FWboNn8
Cuv/l48yr4FooM33hMEbiLEfXwOPTqc3cgoK2OdlLUCHeD9PznPv/dsL+a9OPYM9/n4q+9S+fP2r
Sj3/zB8DWQOV2pufwHPv5GxL/XMga/xH8o0ErAwNxJUOj5nffa4e/4LZgA84NBDJR+N7lRprKicy
/onz8jyr/TexTn3+hP35rPumUrPXliREcdayVf30eEhVzbioGPSTiotH38ttVFdLuzDpxUUDNcpr
mwTDrs2FdzVnoTZFMUfxGnGoC3AifT5UCwzX9mU9H+IwgRML7+W26zk1ukN5rCdtWXY60pL7anQI
C2bW7ywIO6sJdcFDZYicUl+VeCTbBlU29wA2OL2479EmBJihO2DLLQSL8lVSzla05X1tcFoWsLgg
GlWv6Sx2FLPsQZJ7N8xCSDAVYX5N2JoDrxBnzZIXvuy9tep1nyi4Rt0RvlD8ntV59NVXpw1e/YzU
OjESfR2MZbV3cw9BqtBuFBLw2aOze5HJ0FtQrkhT8+g4Kz+SArTRRCehP55RrDBoetZbE8lrTJxX
roK0W4bJY2Rad6rwypUWm+9lYg9rfwru644FGKN7K7VwQf5lx1L2RvQgn2eeO0Ka17kez62hT1ke
XMSTdwfK2sFZyFy7NvW70onR0XkTFNG2ZeqTTTeV/XUEnbpsnObRBXq8gFVpLCpbrnqhn91UGITl
o+uIuOpCyyjTPIwjBjAGzh96TbhF5ldESC66sQj2VtzctHMyb7B1SgPqrCHezwlUplTLlenKmQCP
V5rWUiDlmdgQPJU2pPmLmhNu3rgnzyzHbZozL+4kVty88qisqN/NClqXNznBtYbIhOvNRk/qkqtq
ND/Swh6BG0j4aGFseldpCA0tz6nb9BPsnsomMJunSLlgGU4hAcmlnrqnXitgV0gChsFY0BYOnasx
ikNbm1cljcM4TCc29ZEAWwGXgoAlJX8Dh5fOaJ9lGT4kCUtUzSCsmqmfxJu5bwE3N83noXkzPTgM
rQ2/eMkCf9saljiIXLs23PJDhFThwu9sq8Fd5omsl7qqrb1EXS5ldhgYTorAOo1GchJWO+CH9mZ7
cfxF7/17G8b6Dk8Fk2bNua9VQJ+xYUIlMInZuC2Wy4pkbKvrN9moDjp5jSqJb6IoWMs2faIa/MX2
6gK7rUHpX4OUQIh1Vcue7I6eH20I7QtbaIcutWhe0Bn7th4k5TyYgbvGq2syjGvU+KWE3LDoDIqj
GM8tCjVRJ0x1b+JPYFVz/apP+5eQe72WVgkTSxJYLUyCxXl59HBrSLfYxKHVkBn2X4nnbpwa/6OW
QkkeHAIqCdvnYWQKO3p4P/LRfpvpZD1CC0Ti+LLya3MZlVmyTExzG4fNsxtXFxjS7o1kejDopebv
QxcQ9sLrvWM9AKPmD14FU9dTmppQwDczNSb9pvGs51F55SkQIXjcQRsOWjJq+yLr61XeRZddUt3S
h/celsmNK3PIF5lARxLWDGpx+C3gx+0dM/41dfTtKra0dJ9lJEh1E3s5B2HqWJsJFwdzH2qSYKq4
accI1jlBQ4Mv1OMIR8OgZzUYrmOTkZNv668uxpTftj3/XWcFu6u/X2eJllBqsUy//gzLNf/od8st
eRJ4CEiMxjcP15/LrfkfE78Ymy1bAMn8HoXpzHYx6FtQFFgLkeL/XG4lsRJCKJ4kh/Lb+v0vllsM
Zp+XW1cnl6mzbts2V5v/iO/3lI4RGGla2wUjIerBEfNMTLlMUYYhR7wcAoO22GSTWozys9xkCc7D
p8xzDjjGmX8rjPjFldNW+5jGhEnz17rIGDHHTnHJkLY4EYd7GHXx6Hosqm4zjvCy4SSNyZ2sfQCY
CsZ2ErBoFbEDIsuaAoavs6qWQhAlVWITFDEG/QqGYrfyJtFtQz7WUOrdfJHrKgSwSZd8XINYCMaV
4QbryS+Youo2ewTZQ6yihGDAvwWJhTwITgBKWAdFWK7T7yGprxx8Mr1JVanyBDWvOvE9u7ZfJa+T
7yS/t/Lmp1WXYi0a2A37efzqRZ67Hn0e323G8xnC0R4Kgr9Py5imhmxYFzlwTh0V7cK2tf7Sj1iq
cVkQ8oNRHlUZruRU0SQYxKcC34odj/jOJrFRsr0jhULDelLdz2kfpJ4enHIPnh+zjFX5Lbm1vF3l
Gm24LKNM3VFpF0nVHpGCGeSMBVivjmr12j7YufmQxd2NFyPxYQK3GTsbO8cC3jgm0VtnWMcgn64m
E6mnZQIKGqZ+TJW29NtiZhWCTwIfwQDW9Jb0Ii61aVDLIiHd3RS4k0sVW2D95T5W8jrxkQFgs6EH
T8G64lm2YSUk0IijztSbK9Pq16ICz6VnMCKjk5G2FxZL4ZKGoIuq4zPjt825iiQacMKt0fHirwXO
6IZAQxO326qyjo4dJhvlFdqy6uJilxi0/Zbato61czIUzXFKKsW7R5qgdeWNKc0jeSbQWSPNaCJD
LjUTZtdWMUWLVKhmHSc60K+eiEfQ3A3wJTddnB8D4T+PFeJSqrno9ZZc2Up/EFX1HFvoRkYar8ZK
STqfg+uAzIUxUA0dDFdV472x4pXMbRvuYSP3QcWGZ5L2pWqbU0QNs3ZdwK6b3schRQrLCP8l5UPi
BxVSG2INKMljTg/5IVbeU5HoN8qu39xyXNZVDnw72AS5XJVNf/CUtql1k4KF8CoqisMQN1foI2cS
rckKjmq7Tf0WXplvfxB1adHPetbdqKXKdyHybro15XQMqrrB8Ib+HlDXgmVAcl2xLdN620O4XKPw
7PrJOtf2U6Nh8M9a7z7HHwhD9qI2a4asyt73uJeCcjq3k7nzu4jphN1e87Bb1L1amWjR+O+Zu/iV
f7YadckMl2AUWZaijW4cgsb+GNxOeAYXsiapEuKiQuSCciYyYtleYFiYL9JoY1H9Ri16sIMCNXsq
QoK9NIQvtJZPTl4a8SIHUcTONTu7g/boiPyjqPW3zAXXIor0YcppNDcSazFUpVjB1cAaVNMn4cTl
i9tq/iX032M0YCobdf2cFajUrVMZp95KSZo7w1qf+ve2wfuayeHG6sdyb+XdM0GITSX0xzFyjlgz
N7SEhyusFhBrRSO2Qxt8yQevXSV9vindcdv5BQG4+uxF6f+ydx7dcRtdt/4rd31zeBVQiINv0t3o
wI7MYYJFSiRyzvj194Fs2ZJeWe/1HXvggU2T6ABU1Tln72fvBfS7qS66pVF6J1BgRCSY8TbHOXuF
6uHepiLhyt2SsuxOFYa2CQy0jhMp7G4xRINbKtpx4DG4WLlzY4z1dkh0BHgJwccW9AptVoaEOaIs
w2pWvFf8E3Gt04UtXwMcr8tmRIdnJomr2kwbnE9hYd3UjbyJ+UzYB1QOExAdqDcuaaMxZUSN6XUx
8xhvVvlOEED6LtoEJYaKMEoI9mlgrPLnbBstmjEPzgz/xMEZglkbdntdUTOXL3TcGsS3zycnNS2w
RFO9rVobOOAAU56Zjr+j+EObgQxQ7gOMlTOK50XUU7hjOWZuxOHLZ0yoBOWtFiLJncZq6QdmCytu
1q369adYg3Sr1AhYDGtC9FJy1Dcq7pqCCd9w0EUdLcGSbFrYtkZcnPDyJLtC7c9+M9yIMXcVT47Y
Iax9XjpbeLD9XTCN7bpvtffYoWNVW9Y1fhGEj8kk/z1P/aEmk786Tx1J1/j0n42LOdvv60kKgy4O
VcZJSOgFojF+9KeSDHm9YZERxmnqi2Dsz8aFrvJLFpEYHG4I951JVX/4c/kJbQvdcgiXFDaHKfWf
9C3mI973bQtdB4RlOqoKdIOuCr2Tb89RZV7CPwui4FK2KC62eKZ4YAzrrGphwCnCVzwF2GeBXKZa
tMUkHIidlu6B3h6aao0TVG1ue1P1nY/erreVgm3zFatrRIx3nyX0P+CMelcqoh7V9SdFwb0XZ8B9
kUgHLCJgxgfuzMmYknCZ1A5HDjJVLAntdDSxRLUNfgEox2PLIxFxxgi2FqDBktXcUPBckk+1Lf3K
iZZZWhMXUfZJRfGSUFC3cuwtF/R0DjXSNqFdNhQuRsjh78s3/m8podHI/ftS4pj/VEPJ7/x551u/
MRamWWpos09kDl7+eufzUJiGynAF0hpI/bnR97VlN7tHMKvzTNBolTSn/7z1JeWFSesV9r10VH7t
n5HYHJ687+99nOk0FNlhLah+mjX//JvWdz0xNmiN1jz5MpsOpWOKAsWMHZT6Shn8bppQzrfwGRXN
DBKc4p6VIwJMgVC2YfRF9CSSo92GIkXi4nMNjnxiVHQkLK0eIQUhZwzp4NQbCeeUBjHQY9+CJF1N
wtc5D8SW4hS7Wq+QoTudYQ7XLQRxCE9K7q8to1KW7ZA9agJpE1rTbTOz1Oq6AyvT0U3ivJgyx1Xq
tdeKuyjTjlVmki+XYjcYxU02UhKouInBqBVAb9N9VnoHtR8eRhpaC/oKHtLoFGfvDvYWihcfUy2G
7XAZW/ieEzAVi9BG3dDSaFt0w/SYWg42gq6FNys5wdQx4GPOpUzMilWf2lcVigttrlHCtntqUN5R
2yT7NBS4FPPxUnNGWPdmR3ZRC2LG68pmKa1pWMUNCheiciZ3pITBXa65hJeNK+TfwJPt7rOiD3so
mlAa0VAuU0/9PAxFvmyNek2s3zbE7L1M1eQQ2VqxDKvqoTVofkZlf8B22i67sNMwn8pb3Prr0mpJ
MI3pXyopFtPKK3bM9/Bw6vkp0vKbsuyXTET2IQkxwQDcvbNJALVK/ArJm46nYFEF3aqRqFKTeJUE
urLsCv9K91K3Kmyokh4NIMrRCJhcHq/t0YInLJtjqkAqw4ZDsBZBc3jqH1vIdkywHUiWowxXiulf
WM4IX3KaJWaIq67FXl6K6tHPEUROBEqPo3rb+INrDgnGoEHdxll0g3n/EBpyFVthuzDB3ENNxatZ
6IqHKdQLlmJwLpSVFo5i+Z4nar1VYSwujSw/GWrWbAIc95mM72kFUHaVi7wozwr6dpT2sQZWlrXV
TiI4yulDD7RkjlBshXwWRZtThUK075PbITbAJ8zGxFltF9iMzUcSpLnRtWBfFCjbpDPhD+n7x4z9
EPtn8zh4/YOq13d6jdfdr6ZNFjjnqDaWSkRDyWjeBsuDrZ8hOWqtuCC9QiVFEq6obNpbL6JjnEcq
sJnRx12rc8RuSnqt0zNawZfSAOQ3hCMx7VBV3KjT1aUu2vsuREmnxiQh5maA2Tu/EpbzCuYfXIJf
aqDr1Vu6++uw0u9wRm0UmV960DAM++QtTkZ7ZQcCPPCgnPxAP9JyV5YyDtdDmKAc5uifqeNr6k/D
Nh79bdtVxDMHtgMFHzSaTJN83TQZyCF4guOczpgMk713xAhuWkVuJKbqwGl6nfYwXz0tAeji8IJN
pV8n9XhWVR1lIDVAXpUnYIPYbLzgqkpl4prq8B6Hzk2kh2Qd0GREWjWAU57Gj76jA9p1mNkwjelL
ZsHgEOuGcD2LwCkvaW/JkOLWEdJaxCrQmbwIR1SJuUEJQhPdH17NoCFP1pwTL0wH4Ft5VBX9PUa/
uco5vqOzBiFswBKeYApXsIU5Hm/HKX/OvkCHoQ9bM4a4gEcsKsDE1DrQyVtAkIOm7/wGm9g0g4xV
LTpCPrgaIRyPkI4BcyGD8/ZpEu2Cprz1gvKjmdHIgL0PI6xkcB53xQxPliOwOFzCJhGVrHvVDFmm
aetaM3Y5gr+czSBmq2fGkdSAlWZIcz/jmsOuf3BmgHObKzzTM9Q5C+PnAR8hj+Owjmfwc2pL4jsG
DRY3VGitf+8rINFAkkI3G/V9YKbPw8gnqjpMayAtEI2YP1SkZi1lrTxgvXwPfGjKY2zRq5cICeuc
fr3+MlXio1O5GeD/3RUVXxhpTnJlJA0Vrp+V6zK1Lh24d196DBv8XiGltDuhl73hrSKvD85TqjMe
1udgq05hlgEC3QLhtgpssWvzGBGvZw87vYd3UnhPgUUaXpWE7yktDyhLPahEhrLbOu7uMadPS3RJ
E0LeqkOM+e8piQ/SELg5fn1Kat6r9/EnNQK/9/WkhAUXswnzS3QS80Hpm5MSqDwif5lr/2HP5QD/
9aRk/uao8IgRVqCB+atCkMZvhOox10RfhrmVE9M/qRCI0PrxmOSg5qFCsKVEJUDp8f0xKS0SHf2d
bZ5SCfGgEJ6+yoX1bNG0zK32UWvM+3i69sZuAyPZ1Ur7um38ey8hHwhVvlwWSELLbDxCw/SVT7KP
71Mq1ZUqq2gzVtkbvrhmMfY+hXK0FX7GQtHmGFgqbxl0dCY1ob6QllO8qQ38FdBsvcsy5xEDEEH7
rsyt51dXWY98LpLBY4qmmGbE84TuOCnsatnTORij+NoJ5Gtlqk9DN2pLsxmO4Jnz5RjEACbLaI8F
lUAkZhKPo7BfQhx8exo0nqv2TP5EEd3HbfIiRmva6Sni8ZrESdOetlOpvXR1enIyRoCmdetUG6Bn
bgk2ZIGz8b4Nwmc7VLa9yB/rSvGvLK1YOTQ00qw7qREhmslIozc8zRjWcpyndGHwOS8aqvoMMrzZ
n5yZOJqH2k5nSkSnMBgRrWu3czQd2vwmfmbkxuJXRJu6nhD6q5ggdRTVdOECRkcaqmHdW+RGXW87
+sNLr5coZJWDmeb9Nm/o1Xhh6/Z5hLbfPNC+ntY6oQ7LLkmA/iWfKzStq0bDnxhUYlOZU7A0uvZC
ttBWRGxPwuuyTZChzg8xsDCs5LtHVG74sx23ehPTGK4I7jkE9sSAOQLn5zlztMAB3fA5KZxTSm/L
jHBpA7I/9H5AjKi1soyJqA0drX8iDLDeM8uUgTTQu57BaxJD/Emsul6GIYE6bMTcbKGDMSQFy95Y
r3hCdj4MlnVbI60XcFZwNF33lskEVkXHV8pPoxaVS72MbjKVM3PAN6cU8p4x/aJMk8pFAWQfSkXd
JXZ+LKLhpUuHh6Cu34rS7lcMG+bRu8l2GWHtHisOJnHUwMlo8lUHp7ANKZ8nZhjLMEivvVqXRGIN
W+rlfA3XIlsAse0Xcb6TWhjB1MdykebYQIuzDnAmBsNsqAmmA85TBDliFUgktJbshfzrfaP2x3yi
MsGadEX8wEGk+U5LSfdNQHXYnf0W1f7OCXwiNBj8mXZ919fhLf7me9SyO5HNg139PTfNXSz8M8TY
l6xOIFdgMgYNctBltZdtfmy7uGHOMVwnabcZvPCgtyaYeeyRTr5TZ13SqFN+B1e+juOiGuW+SPp9
X4uLCPRk3U6EbvnNU29xZqn1iWNVcy5aDMHjZF1VjnZjhMU+DrutHkPHGZO03UWddtZFdfQLCy9F
h8+K8CacW7d1Xj+yJe69ITq2gb4K/PEmEwmUYx76OMFe24ePEMA2hp9vUzO0dwQqbMyuZ9ZiNcBS
nHBJvXmtY/2gyrxOlQ4oFJOIoAX84ognxiTJ0hZJsnK09qYPDAAlJFCT94tZf0qfaEVsrZa9Gv6n
BoeRrl92hJfzMtnOpld6osU4poXdc1a129oQH1Ptt0SaUHsA3A0pgintJiVLbzQS5/HEw2UCEWiw
9g1SXpHaQTK1mewdvz3oYLuGpm0WiursAwzIepfsPX+E4JP7x94j4SN0srcOlz++1OSkCGdT5s6p
IqUXYu+wTkuhuqGhPhDkdhiI6paxclK96Haav0IA6W+FOvA0+q7U+r3qK4+D6M5SVU8CyBIsnnn8
0L9qCmVQWPh4a0pO4A3fRaUa66z1GaTb8AylPI4O5W8TVts4jzYMKvpVbaoPGGauyrpbQBBbGbVy
3YH7Xmr6neW3BJBOb2B8biej8Q+ZURY74Xs3RZodlUx4NN0TV5+MF7UwN5bmMVwGHM2wRnf7atC2
MSWtpvnvMSdEekW52I/ggUC7a2tVLYy1COXGKmmcclMUQM8525u+2GKyfar78Lak1B9b/86r6i3h
VFR+MwMVYQDv+c4fk8emDLrdoF9QNKwiwXA6MkeWlQHAUH7uG/8uFFO9ss1uq5CV2kz2rqrN6ylR
t5Xv8NGoZ6WsskWAX6Zrtdt4hgMIlBsru+qx76s903jzWCfs925SK1ritn0ZPhhp2LD4073VMuZe
KXPxdVCCsCzx7oV2x9NJjwKTJiMH3tI4FlsOjBvLz5wL+G2gFqAO3ElBWqB1UIcwUQ+Lrk3fOlgX
uplFa3YYLHxIolaFliwHrIRG3mw9OuSrIWnYYjqnu4qSAcWOMn5kVY0Vk4iXeCShVkZId0wmDa6R
JI8dtDsqdrPCZwP3WQ1qS1mkkQlwNPWx8jfFOSvV5ilSLUjmxlQp69bujeu6zyaMKRNjzT7RSTzq
SKPAjz8lEHWVA+7PKxi1F82O1/oQuZY2PaSld8PEZ9+WMGIsyA1aYrduppZPXg9OFvuHW6k18aIx
ChIdwrVsmrcuapF02M+6J49djxURfjVh4OvGAzkg6zt8SOPKtoJXVtYHIast3tmzMIZ3L5J70kLQ
SQQ4VUJO/bUin4rJ2FthevTCRHJCTokxwgJT4N9p2aLpTWKf+jIVNlZJnN+AYA0XINF2hW8ejCHc
qhXskbjYpQ45rLmIV6EVE10RyWunT2+bgQ0jH4l1zrK7jCxdWhPxnqJzJ4RydKhcOQpttKHcNZ4D
ISPY+Va5J4roEYLxPsHPXkl2WmmTG198ojBmPuhfDx4nhRE71eQFbkU1bJTNexo4B4UYv5qbbhja
feskn5jmQ2Z0sh0e95tKA5GohUtHp78lU3JVBnFbx4AEm0xRliOer9FiVg2X3+sg9nuRWLS41JuI
oMVWe0IhyxBdHdaGgi0V7DZHC3RtGfiPMYmfYBMvQZz5i77SXCem8dv6CfHU0YPjeBtpTxfRaQF+
HPVu7NW1jIrHnD4glTPjWKULP3tV3i2HqG/dJpCn3hAnz5cv4IlNFzWmq3sW7ONw54TCWfu+t+/i
6b0YjVNTAIRifW8OpsbN4ue9QWeJDlcwFqrrjaZ9zlE7ZTr9BCb4q6AR14muHJJmmKNj5Lqu8dF6
RkBkQI2nJhjNZ6PHrOqw0mA9GuAk2TgGYRQPxnRdKOYzCEpvXYTlk8AFthBmu47rLsEnxLu2PXXr
zEsPNIRFlzvB1q+gEBtFfCyY2sfo4c6KVu0L1S9XGp5DICIpleJQc0Qsgazzb2OMbqArb/1wKDbJ
lO7oGTAgb9rDVM27tqE/DSoPWiQgLlQD9r9y1E9qHJ4A3y/1SA92VjDVhwJLGekP8hE7tn/VQ6Nx
6uQZm7C+nR93U84C/ozdHGmyfLaD5jYr9Gv6iOHBkcQuqsXOL8QdUzcokIbAp9jSyGBeCPWv9MWG
CT3jLyP9aO0chJiEfCntO2BxVyEVfkw7sEv6wa215mlUyxvmaSgkCusUqf4pJU8hsfRxnw3RQ5k4
z/ogb7Dt5HtDRhnZPWa+1hr9eUqdnTPzDiMR0oPp+MNKqa5zNSSUIdO7bZQwWqy/YDP9LwjNQY00
yogKgqdr/87ZjKWpuNrv/M1vKr7L7yLQ/wPS+pKHWVP/7/9Qin3TZ/6C1TLRvVhQkpjlIB3/voDS
QiEGTcvCc1SgGM6O9TQsHP321xeZ9aV/6U+/XsRUgQfJWdX6QzM79oZKKnUdnsW4U7KjQBCp6HdN
f/fry1CJ/udlLEZZOpaiOQ/v+/fiCeFQBQgO7tpHn98r8r84137y9+n8q+iLZkk6yKnv/37tjGae
m2lyznputK3tvf7j10+yssYnxAc1Axm+//tQ02nQGmV6BhCUGhfDOfz678868P/4Gr75fH54/boZ
q7Tv+XyITFLSZUw8hbXS6be/o7/4x5eyKLtnXbqBgcP54atIbPqF0GPjs4i22AgbsShopOpLtmFi
z359rfll//C2vvta5lv8m1GJUMO0Q7manAu5pP9mUHc1SErcsVv/+kI/+fy+u9APbyqzIgf33e8X
oiueEc8erNlH5q24+C/32k+eS+gZ2BdRpjGomplo374pidAoZ+PNzrVce8lrN7iG9+nXb+dnt/M3
l/jxdptqYlx9Q2TnzH6NvGdd+f+4nR1cG4yK8dkAJ/r+LURlYjS6omXniBWQBm4y/iGU/H+1Ds5o
QyZkwpR0f2Ze3w8D4kxBwt2Yan6erNfeOrXzxKf5L2vXz750bmKG3cj50PLNQ+pv7i4nSItstKf0
jDEbRMQ8cTGuOzS4jMrkf7mTf3Itsh00PHCWzaDxx3Uy8ABmg+/KzsFcU7vhzKhwrZKe+ka7+fLl
/zsY1lge/n4wfHrvXj9zH7/jxGzG3ef//Z8/lBT81jcNT5qn3Fe6xk2F7uCv0TANT80WAqOqLpGR
ztbYrw1P5zdDM03kCmgVrPnX/xoNO7hDDJQMZMKC5vlnLU8pv1/uvpg52NzAYDLz5YI/tjy9Niyk
4YXjGQirHME8aR6199A498Ok9Qsxgrd1QF3ZU3Jjj/rbWCTK0mLEt+iDBDFWCFXPApVVx85ZCtau
QTHfnCA+Jq3zALfvXvbZBx70dTlTt0K8pUmRFujkzVnGOm2Elh6wvGO2n6ld8cRZV5QwF9gMaAnG
D6ZvTmvJPomkvqQZiOEj14ynOCHceJzeFM+mzQcqrAcZBgrwUoEQCzl1bvCA3abAxfJ88E8euLG8
74rFCIBMtSmahowoO9BkcpxWEaqy0m53LegyGI8eRI5snQXKYwvcDGTIAsfkiU1oPekBC7VlwSXO
aozZoNEYuq1LG7yPRKyl6upnxpznOlZNCIDleDtBaw07Ty7Vol5OJZA1I5Jonwh8hYirRK6jGM/p
FGsuyRkWCimRXFl56KzKHp2+MngbxtdQhvu50+nAfRvJo+/hiUmQcCYYDioU44FJUxkvfWZ5HNNb
vyGy9AtSbjDpk96rfY+wFuxPGayojUTgJhHuYnqxfoTWJfATfeVBT1uA5z1Q7btxPW5EMmynvjPd
FkbJIvL9zSD0bml9ydIAZKFbaFpQv78XkXFMBOA6PMsvkx4HCxzYlBtee99k2UsI4sMzgP0gzzX0
eje2CPwrEmbNKNvmGvD3IC4M5s7d0RGkIMa01oJAPI66eZUW9DpTY3wtVaO811PQHKl+oxKd1Rc9
vLRhM0SRx1TcY0ofelsMv/nSL+UeHpm6cBTIFqMyorlJ7QelA/lilsq6d7SNCDv0BUwlba/fTY4R
L0RemAvdz4hmQ+5LftomDANrIazpkmneWrZgEhRskFXVPkz0BRJD+8glnxmx3k/CphHvxffoMZ/9
FHxdwDRqaGym1tNTXSHTFowXaedZSyJ63WxorlLEi/RbpqcOpgw1/mszhi7ZzHumuCs1LJ7NEHmm
BzJ6GQtK76RK7lq9ug/YZhdFq9e8tHgP9MktZrRfYz2XDmVw1ZrHCpngFOgbIUkZhemzESMsorZ9
MWz/RmMwa6nZGc7BeSiEwzM2acgJ0DqUZnaY4g4hMMzs7HPMrLqlvnDr3tvkYY8LZzYEYbm5hKax
soXHf5lNQ41VP02zjQgC9ms6G4sMEUOEr0mbTXzsPN14Z842pCFPQDtX1h3Zf3uYHc+THRwTnEtS
UzbqbGVy8DR5qdimDjB20yp3dHW4Ab0Z84INCj+UEekFD5R6x238hCQzmJ02pwYPFYaOzw5SQzdS
+kvu0YBKa1Wf8aEWLiZg9clsx7JnY5YRD8lljJ2bOGZdoTAud14XCDcdVVL4TOdtwOMV4/XyVExf
nmV4K+IQEFKMpeNWkbEv7Fq/TLjFlHH2jSHwiG6LTP3kjag5fVh7U54fUMq/qfQs2hnGl85YvibW
TkHjR/isghoyDg0lstze84K8hZa0M3LlipmeVBLnTsrxwgQ1wloECtDTq8MEG7DR1KsQVmAQNDcV
fS9YM/iHJgT0UAUh9tH0QdtZNAFmnhk9iL92FQVpSz9Y//1M/u+WP+/Qf7/ln6vXzH//yZbPb33d
8lXUW7OwCx0Bfo0v3pA/1WD2b2wChsbubnMGBBj855Yvf2OKaSKCxNnJBJI0969CSCl/k7Zp8g9/
1gBrof2TMSdzTA6Zf5U4VJqccPn7DhWsBr/A/uEQWprqGPaW8I5EVgeunJLYQZ7oeHtlKMU+s2pC
dxUxti96FFyF3vhs++q0xEH4SXaGSu/H6C3yDRmVuKUUUHmLsnCHKIwIODSD/IHUTHNcghSs/Xma
hcI8Ck2NRVtWr3rihe9NK7xqrWUGG1Ld5cuMxmDG+rgOkJuVRIjVCLShcRLsXBEMdIW0yFk4MSoP
r3U4JYSFCQbOQJQ+VNWHYvsDzzTSCiP06MNrLCK2Svd4FvAokogmeGZ0/kYfJVuF7JnGdTHleyYX
x2nqr1U5HYIOYrBUDkjRiQEJdgPhJEvDxHBDu9ZY5nXXrrRaDw6Fbm5EoVwinvmbwrP3TRGwmfkc
Q3waM4eszqulpvSxO5rECVSFAqO1bM9DU5+VeAA7xgRpMdIMZo3o3QAxHSZRs1HQc8mx+ohlcxsm
4laYBGfQMGqyi1LG01HqiGXKYu0XZvAEA3ppEczhgbuHrEOKh8yDDwsb4lIr6FpqOVFJqNqdUaa3
imn0aNvZHawSWFZVpRtUOYSZwU8c0G8tvMkyV5qaBefOJ7Y0LKJ2QZjNuhmU/MbsaRETjIncj6wF
p8XmoKmMIpUjaP91Z6ohRNNCv68dlRY57eCKdW0N1RMHR5EuByZji6mwimfDa8ncUhU6lotM8+tl
PTIV/+ZRvPx+C/+y/cQDNwMebMfkwE3D4PvqKhJBL2Knjk6aCIq1THrtNRj5nHryGv8g9fy7/kkW
nr9f/+bEpuMrm9J/LoHzL35dAjXtNzx10H4obmzxZZ37ugTyI0NDhG0g7KYSFhTyX6se6zf6bNoM
+zSpcZCD/7UEEk0M74C0RMQj/1gQ++MCaFgoaymfiJ5DDIuq4vv7pG77tkzNsT+L/FJBcxuBV3/z
ofzkTuSVfrPEzoQgPPhA5o1Z9Q4lZq7Nv6nzzZ6EttZq23OtR+RnPCji7DAVIuvNg/x/onj49fW+
SIx/ecX5FX1zxXn6FxIG0dJ6bRXicuYqYKxzDSa1n9fXfZXbV11jFCczhtJcm2szGku39AbPAEPd
EDWCd+kFZ4y2I0q9m0PX9JVa57CP7eBgYNHBmx0vC0w7nRJ/OJh4ZkhEPrt6rBwQd+RXOH1mz4+c
3T/V7AMi6tZn5G2SGIdHyDAsyQIW5htvHDJMt3iJrNlVlE3wczwtvFV6FHsYj+yu2+MvIHw37A4K
1iSMeEwKPQDeJedifaTyNPtrD4UM4Stym+fqpcPoRP7lLhNtuIixQOVYoVqp3FezN6rLXjqsUgOW
qW72TqkIz0LMVHphXwWzuyow855RF44rLxiPOSr8W6sRDgo7rDvZbV4G5tYsi2XEgHNbohpprqeC
WfGyTashPye+fmjAN5+ydDK2ek0WSNrK8o1k4gMxw0eG3ofCCndD3LPtesyx49M4mY/q7PHGF8/+
JrFSwVrEW/GZ0FrD7Q39OBT6FSz1VRcXh8brobmNOzS0FwERP/OIMxnGQz8OB3w5+aqZUkH0YL+v
O/EIdJFcpxxXWDbdI8v2F146Antts0sWNxumlKd4iq9EHluLoTBRFzQVepAB2yb7P9hrWkZ1ZN0z
CodtRGreWksLauS2b/CuafW1TX17IKuYysjW9kn62VH6sx7YN3XLGVsNgMUGQbVWmR56SXhpM+W2
74CEK3wtaCldO3SYHTafrQA1h2pG1xoTTqdNW0xmKsoEc8Vo7prsX1IzqDXNXt/0VbcWWDIakyGw
KlZ5nt/i67ykXol+emAI3yRxdzOMwY3pqbuK+twu7Cd8GMsBlTnTUEUuMbx+ZJJgXmaMNCcIF6Cn
QI+eOWr3Lnp/n6EbKHV82KxgaE3QZUlJRLTSU2v4F2yuR92ItqWRUhIbbmKBDBi8fV0DpaU4q6dm
lgGc6DautF7ZsVBcj7bfoHaC0ip1b1068kGvaua7tM3LOOtnkuG4jRHP76oEH1qImkKOylVcT3d1
0YP4TZpTWOW3USdWUYQoqPUiB1WG9uq00SuKmmNeJgSgR8y7+roaF17dp0vD6+ztl2Xm301vblf/
/aZ3Sdr0tf7Jjsdv/bnjid8ENGxEg1+SQOZsvj93PMxPKBsxcYOl++Jj+rrjgdHGWM5sQ0eM+Eep
8DWdkBagg6PEYbOcoS3WP9I2oqL8bkeadyKLVjAtxdmeha3qh7ORHvgZjqVRPRvoduNt2HUaTa8y
PkZestQnnudgeuRAudDKJtkQ1fqohEG9SAM0xLm/ceac2JB+GghIaoa8uja7fOPoYt+Sa26mw06S
8Dq1WyNSnnPfJz6BPAD/rEaOf8zD2l6aBkkclspEMK7Rg5nj9JmWFoPclv4LrOFnzFasClJp1nrf
PE85ybv0IlbS6C40Q6RbZkrIz8V+6tAPawhydM6A2EDZmpR2hIst3sOi/ugn7bOtIITI2zhYVtpw
m9oDYQADcd+j8lhNOgdfuBWRbRL9NjmnzBzHvaLHNxRGMzWYrO2BaC8OmvyPXv3B0RX8x1R/qjp1
BTiU1DktxGzp6aTfBVXJOFh+EvETrZGgNkleE6Qr9BVxF3ABPaupVjQ4R31pxHBVqYikZFiLZws5
jWycVzXUvc4Nh4ppe9YFyK+zeIthp6RPp7SzMrBwqZdoxgpnHh/byZqWDmmHWlepSzOs2Kz9vrlG
N6jyxpLqustlhN0FDB2Efj4qosAXdUXdEZTRvCHEGmIb8ymfKqqyNsb4Xen2Is9J1G3msAoCr1LX
czzIPlY/XnNv6gB+IxafvlsGuZlfOczhoazo4RFqRbTqnba+CoCIboaKKoshOujAEmMdpgACy9S4
/dCc3N6UQdmy5Hn+VjWVt67h64NIX7qI9vHQlBQIIXLTrS7Md4ctcNGWfe8ijqPx5ui7RLT1kmjl
5GJLP3bVOsPvptA4c9SMnTyRwFi72tjga3pPB9XZYA/BflcpycWacv+KTw5rnddnr3aO1E0bQ7H1
BJS2WqCIz8DK0FZt4mqlWhbtIyx+b8UIRjKv6fzVRh2AJFKqfW/l/d7v22rjBEhxwSCTQY2zx+XL
01l6jY+QKRYbaAASWJeb2SkVLMSUIkZ1ChJJbFt/EymGI/DzwKRTjAy0DTkGFHrnEjuiKrxKjORR
hhOHZ86/qgCEYPWOs8YNoAULd5D2sMZJVUUfCZajrc2B+zonOmWF66HeN+BYEDbSvq7EcJdwAEJb
ysksk06MDrd8GBXHX4qJ4O4cEolbBwNK1/pZ8cvHJM8IGrEditOUrluX5qTzCgsXwBg9kAZ+ico6
fCGq1yJ7xQ+QmNm4WAqEGFN7jWzAXhgmFkfQ++XOaU2yL7sX6v1179vBcnCUjz5qZlNO+CyV6Ar9
7tPAcXmDfwCqQlrNi4hz5KPYtbHzkfOcKnPh2KT2nbCNS6kGV4VqWIusAmsh9E+a6Tx2iTKs1Gq4
NFNl7+yq2uZTfVtPzj2nNogXDckgZVu53YxxCJl2bKRGSzzKENjZMG57ytHKDm58gSvL8onmbhNZ
7g0xvdJhBuaYEcKck3BteWdbcpgbJNgb/Jo8KWG1yLjZmIQkcJrRXr5FNn1vM26irS879FE6J9yB
aJMroEOkzZh5jeknfQN0wZol2gzlSXnJe+WWbv1s4YjDKx9xHf1Sv3Djsbd5STSlRwX2NTEthErm
vX+dMvenh43gEPSFXEzCI8BovmhTGIELUMLZCOxvN4lfFStb42zECtNuSIUERW8MzqbQ1REwR0CI
HNokVhhrxA8/Rq5XhxLhVqq7zhThyamMD3onZNvp0w4l4pl+9D6V0QE0YOrKXmgcozDmSFLo1jGh
AuvAMgRnRMLadZHnW80cyC6kyR8GyYRMKtQ2mpwPgBGvNkh5arWezIUkI7GBrlICkppVSpQMcfqM
d2pU/5e989ptY8vW9ass9H0JlQNwuoHNrBxs2ZZvCrQkV865nn5/k5JsBdpreVMXPECzL3rZsoqs
yZpjjvCH1ljhs+khf6GYSylkxhAm2EMVHnaTaQIthzDVPExP/5vq6IwZf53qfMji9Ta2q/itH6mO
QmoCQpYKF04I9fizVEc9IDhD4kAbh2aM+NFTcW8fiH8Ki0Rj7gxC6Flxbx8w4oSsQ6tStSxBCvkD
xRzFfll8b2aaog9Ea0E1ACPJr5AVup2Epd6ow7lde+UF+jHJVaDk1pcs1tWjoYuim0GBwmXXrXyK
UISLWELrzxSjRbvL6eoPvpzFGOwCPzexSJtbUl3OUwjZ8Arlszj2ndNWU9wTA0GtS62v+f2WHsis
GXEiY5DUryTbOerVsZhUtV+vwKZFt4Erp/j0di5oUvyCyrzqvya+7x1RWMICkOpwpqYyHU7bzsHY
D58cFcB2rK0HN7FwvFLsRZ1J3XEKj3JeZtgRMKN1cXSTz+k0ZJMmiPCZMAsOlcBALk8VkV34lMsb
z3KsooAHKp1+WeNojm+S9x0ViRtfmJ2PbjsNhKZJhu0pRNDoUB0d/MRIKC88xfsi45oeNFq50PMU
bT8M1QO5lpa1MFkfPezWmddZ8xgtHUVYsVNVY8ruM4GK4lSft8xsV6bCwC0wPGzcE4ilbtZejiWU
0zxGCquRcLaSDAM0J/ZgquechRopYTuwOpKwi8ewHq3tAAv5iuxnNghb+QJ/+UYNvxa5hTQYbVJR
+4dzxcvJQ4qxFqxbfy51SjmLpUheuKayCnWJATAacb2BFUgdQQUem3wNbiU87Wv9XopQkkOWGLdP
AwIkrH5IJd4HbNou8dHTJlHfL9U2/qSGHT5esFfpdqrxeVsoF5kKvNarGPBpyGCgLURnlaOkwAkt
531MM8KnodU9/OUM+KZpclxpyr1hZM2CZPhD60dMhUhAxLQPlZREPrc8Z5Um2bLVjJOwd07zTl76
iAggaeGR9bkmSoTok3jBeTIGWNngYOHA10FgYDg1hnyWR9I1Uwbwxr1+bLoNP2ncr4laftNwIJs5
vn3LaHnJPO+6QFuFRDeHlpLj8AeXe0jOigg1kymQhuZWt4URrAbJZuFm/YnT4a8yt0hgThSzKCEU
DnF2lDswnSwO4RMPXO3hf+tOWoQGEeq3wXh9ixcJ6JJt3VZ+81lARvXTRhEWYe03vpa2Ce/y6Sf8
1s+AjBgtJRKVEuQYeqI/u60EZGpSxcI3lywGdMqfBGTkDF7XnhbVr/h0yCAwvXotKauFbYqtWt+d
97EtT3UwJwvAtuE8DwWGoK+ZrUcVSZKhtzddmBwTHJ2liSwa5mtBICSIqpmb2gpeTuZcsg0ai0Nq
TdECk44RKFsbrjqeOU1935lFhcEMLPc8dj9gbW2epi01wNBqBblTW5yBKaXT6X+q/W7eySmuHo59
hH7OEdoE3/Et/9T5GEDq0XkRg/lX1JUTQLp1QhL1INFyAPE0E0f8sme9rFfMfLCE1A3zPrT0686U
vkatdN+1wpfDhZnf05tDOS25KxI4d5GMqbnMJElBQGDSoTk0aR3z2+BDGxRKq9MY50mYDCgNNUP2
yU+yS9VEvzGDK2cNOpVTg122Vy4b79QLDjHGuSoqE2aOez8KqlF6YSqQUrQyOkvxcBz78HNSaDRW
3Vs/NT62hksZEn4fPDFDj9VLWyiT2aghzluvukbnDJxYg8NDE/vxoq+RcqBVVSASiac2rN5Zjcrq
qrLlcKohtYnBaGNR+urjlNg8Tit6UnNy1GqGm/wq8sEoJJK2bLCRvILgpc56wAeTcKBVrARGOzMy
STstC8EgAJozjWwlPxql8iqrevpxIEuXTQ8xA0DmrNTqAFJHaKwaF1XKT6knWd6pWo3J57Ay6J3G
jMZYvnac9hq9hbYPKBsN+3sF4Lz323O/LmF2bKzl6o3NXIkpxx0sdUuCjx47q0BX3IUBnefckgMU
UUd0GzzUXRe53mWnyagG1zbsmRIjMA5X52sU9DTYoHCcdzou9FLeMM8c7I9O2h1qCdYjpYvEF/34
Vako11JDLtwwq5/37pgu2y71rlCTLCZWBaCxSoH7yKylVrWnPZzHjzwBFmRSC3PqIu4v0gHlTLvp
8o9e0X6rgDAeW5FKSzT073OF0m3UBw5lRzmT7IySTgZ4n0iGgq5B3azKxi1XKnyrD4VZcFplVvox
UqF25UrgT1s9/5jZ9ayuTewzSWHALRmr3sR/EwtmaiSRXNTZAB+IdEPSyn6aiBTECNTuGLSkvRgC
1zyqB3nNCTIt/O4TMLEcpy6SGQqYcObpDi2IXpcO6XJ3X6Owo+E5Fu4ssOt0ibxFdBsxblzFkIMm
Y2EfRZ3fr1qRTJU1goKzciRFQ7yxvOxE2uWDqj+12+GsMi265jGQWRBT7MykLRdYD/WzWk2rU8ke
0aZT6GQjoTs+jFv+WxwYhO5fFwefOIqabXqa4teeDiPFRokaiDEtSKhouI7+rA7QwqFnzgjP0B0y
4ufoB/3AkRWMj2mHwkncFA5PjVANxriOwwsSOQRc8aM/qA5eIqGpDURPFc9mxoxQFGT91ZislyWv
Lcu0ORuHaCqSF5THIJ0lD9XjL7HEDCdfn3koWqk2mlPQIABx6uKDPJvHKXHdFiZopTO5MZzryAf/
yFkXD+PKxlW+nGp12uiHGNaPH5Bg85iAwF0Mbcu7ybMQiRlvcI4VvDRp4ZVGf+EP2pU2ZG02MweP
Dk8bhZX2te0L077o3KJtF6GS6bNWp+NgRlJ83oUxU8YgzzN1nnUxdE5b8lzRYHPTL0E0sIVJ6+RZ
ld4asd5hUpzH53oj5zFYxSgeFpmLaVkMMEyKK5jCVtBl2rncKkZ00sbheVlH3QQ0cz/1nQtNke+N
Kr9LC2/hVvJHqy1WOLAuDcnMlqrMXdCPnTsMP5xkbvTJoYuKxUyLEvjSSKbEQ/EdKZWrMYe3o+bf
G639wDmbzDvkOG+sCFk9B33LU8nKS1QcDfMoDsiInSTGHEetJjC2tO86Focr3fXxQK3Bo2CACx8r
lgy6C/YpfdYzHLI69JrtdoY5s7pEZOh6UKQvMZzyWRb68CjrGrQYM0OYWR7QijnoXTrOurgECnsK
is3XpV5r/cy0U/8K91YJ3JZSzp1e7r/ocTCwimpWT6qoKWe6VKLsY4xXhVkzY5RgnD7be1tmzEKk
6tnId/Msk7eRqdHbt6h1X42x4dCjdM7c96yaJ2uEnJUPzCwn0qSY1qt0hY4G6n3zZGnNKV8nxpG+
0OZoQE7/zh1pk779xBNByNEsEjzM7TBOlxFZe1Vvg8PpGgzVsjNX9Y5oufbTyMNZLO90dWJbkTMv
QMAy2zTR/AGUfupZJUJpfEfQsJPpYA1njstpgcb0VyiCzqLCTQ35mHyBl95X0HcG7VA6qO7Yfy7i
nLZjiXedVSFu2ncunrZ+mODk3M/pyC2xLpiGYHcK3XaFg9lq1OjNqepSF55dRU23PnDo5ifpKuyR
d9B0IYCdo+HmnagudRCabQoeY0ybkxDNWVLGrne0ZeFhLlVp3rWHtr2iJadNb8sIb+dLOeJBs5xC
XzRy+Dd0gZdBRFCdECSGfk+8NAGPO6+CiAME28kTtzyTkbZZEggQAC5lvLwCfw7ClyZz4a3/5qkC
f/HsqXr7nq++TalvrbKNvArTPA3UTgmGx8tmY2Wt9ARDmALcp2fC+LeYuRpxhZ6rng5Q8UiEbck4
weTtixygW9dW0ncmBIu8KE7VzLyU3fHW8IqvCTIVqGQU+fHmg//3TNb4Bn59JgtAzgJQ4m1Q3W4r
E/nlp5MZ5A2MATCJsmGZHM2cfT9GlJrA1zAcFCjDh0P7qUy0DhwVgUY0GH/81tPJbB2YiDMaNo27
dwHlQIQA+oM1lAYl7tVzZ8SybIduOZ6P9eeCzSty0WcLsyVgiis8i1MiOHENthNWxipvIeLpsyOZ
NNLM+1yjjdRL2KYujBgDXOOubR+m5L88/F/GZQH+efk+r3YtPol5UQYGo1ah+1iedNbd728Eksfv
70TEjWd34jEqUxufO1F7a9Lq1xaTEvJgRzp3mnbODHpatTd5s2qCixr1OyW4D31owhdqRv/vg9eB
GMcP1vDmNsJjno4a34cOYdzeSf5mKQRR5bdrTjb4/JNqgeTWXSnWQsPHAo5B/rlpmQ4p+nknRK/R
qg6G7xaCTgX/aZvB9PdLJboYbz4A1nYCUUYSBoLs5QdIwa7S57WG86EN8SFRnDI+ieB/MVDZwHec
kDr2MLRJufpqYjTdlYLnOiOfDGVOWRqnJbyJiZo3Mqx6Tz7qqKnKZZx8URPtqHNl+haqFCrXvUaE
1iIHSTcXa+k0DNG4KA9zBtOoFCyUepi19bD0x/PWDOaJR7OtkCbIuC2hLF8k6oU7hugbfhGWJohd
V55IWmIEx8xZC3hR7dBPMQwIGMxHwnwW4chIZJ2ZDE3GomQRlWmDAoYlkzXlq6H4UnEqDhi7FV16
rNT6ZRiehn2ybKECXiccJLk2avPM+VjrAmnDGSsmLEbg6ZA4C3sm2wyAsii+AZrKWQiM0zHcSpif
/g2PdMMM/LktRbse9PnPjf86U+4CEJt1X43n8lJbuYfjSf1ZW6I1cV5NlJN6VUzLOapx02GhTY/K
o2SRzfob6RCd8aW8NE+DRfhgF//L7fvq0H2zfcUB+Wxz6XHcWIl4ZLPoMEP4vpuV1QSWj/w34Wjb
k/k8HL0KeHaQjLHv8z5SOok/9neFsD2egikw3b/ZBK88BB4i0vNN8CpTdNgxpeYE6rkP/gkp9hnu
IiXiBCisoxx/Drnj97tuWwQEAQ/hi7QQHOerCJiAB7GsWFOpQsjOx2+tdPH7N9gWAJ+/wau1o3Fn
YbalqudVOxP4kU6aVv3fJrbbQsezu3gVZZ3eQbva5k2c9ngsjmrzo2p+/f19bDuSnt/Hq/A4cFYD
yDbUc6RlGeaA8TBxAzhz/P7hG3nv7Og0uC2zKvte/z9x5dssH8rA8+v/vPxj9fBn7z6brev1iz/M
N1TIy+a+HK7uqybmVx82nviX//SHj4TKj0N+/+9/re/whJwFVV0GtzXHCz2IF2RLQVn8TXqEdm9C
Crztt57lRRqIDOKQLdgVr/IiA7IELXTyBTrsPIdPeZF9YBuqbkPaUIQ1h/gYT3kR7XNRj4moRr8C
Du6fdCz0DR/jZ4Dc7F7qAJ1qE3k8G9XQlwEJpaE4jxAgO1c3MxhRtwNJZDBThs281TFWkhM3WnHS
Uvsozie3RsnCLSlrQdx+q5P4g5V0zkSV1VlT1xjN5MG3RpIPq7Y4iSRYGyU4kklQtDPXbOsFfsRf
O6v3lvD4quOkKA6L1ptqY3Cu1dIhyiqnFVQMpcTZFxwizgjoX9LJtFdpgOB6J80s8E11Z2bTTBov
Ipy7pngYXHHk3jiBJQGDSi+HSFKYNkkfJR8zCLclTNDpX3iueRyHX6ikv3ae3MDxCK+qEumVsqim
ECKOExnJJMTBlkOWqadyrp/7eDJMZEU/HsE2t2lzbFfuXe50xwGbVR3M6FLv0Z30Uve009Ho8VTp
hoRkDmhVWZdDJhrxNuVN+SlQ5TsPT21BVCmmSABc95Z018Brn2a0iKPIPh1iz58r3IMrR6fBmK8r
zHwWrRsF825Anc1XC2OZGi6W6wjVlXZyzXj5HLz518SEARdZ6klvF8taj7KJg20RmrvKwq68ZeEa
55GKiInRjaumU+TpMDqfQtNZNML/qPWXcm2308oOL9MErGqb9id4TZ10tOPnnZt/CXy84VsV5xCm
eZ+KCv2qKKq/GCMqZQzpJnWVfM/s8hRxRu8EGWBCjO7PUuRkuqpBhrdWV5UL2rkqvI9qXMLpQaLf
tmD2dmaTz+H13OEF9cFzhyWAsX6OA8PRkKkbhPV9r+fHo5kCKa8/83erNKOZorc2HhAqhrJ+WGPG
GsYnTp98NE8yJcL/CHEhk/00Ax/mz6ym+p4oxSq0SoTM4P+SY3momkSnSlPM86yBQhlBd2ul6oPS
lsvQiG70QcF/grlmbhvHIJWdaZ3RAUvThHTWHxZFBcW+HuMp8+354Fs5kiyOPY3Gks4RooFh4tZz
ddCWqpcdR4a+iB2AyBFtZj3qjkK/Dqd+OZyVDmuvu8c1Gl7U+4E13FIPl5/9tEZ71HPwhDLBOl2p
AgfmTewykS7l3CmuwMwk8VLpgwUayotI8oEqqu53VGbvXTqT4OjQyJExxLbS/lNllt/qCC33PMsu
Gf0uMbG+VHA9sFG8mjJxmOW9RTPeapncyMjRG/WZosU6N5fPCwtRKq0PkTjssaZH7JS2uDVOQ+Qa
p3mQzOqsX2jmsO5NdYYB1lfbBajgDNd80RTtoXQ4BNJJWvhLP5IOUzxd0PaYeiH6cEgrh8mA3hIw
uB70/aCPRxqCTEpRznxj8DDn6xdtgriPFoQnVgANGZbjxOmtZQewPckTvpBPtdC/7BshjUXnpTmk
KGAallqzIalmfuB8SULRXSn9kzaHRzQWgYP3uNmgBY3vBKAL2ne3FQBwGTm5obeARYEx0PLhlKHQ
YVdqZKgqgDdwRHy3+O1JlD5VeYus3XnY27Mq1D/KgZdMnAEeZWRB9TXSuR6xC2WYpgVYQbp78gej
ce8LU7hztclh7Xj2tLLaleJZ/VQqQPVryYUr4wPj0x4KA5TIbIhYvt6cdlZ63KM3NUkiwLSefYP+
06Q27VXDNL8c5CW0bGiz7WdZzQ9dzDFMSpJ5FMbEvz6VJrmZXWkNctjBWCIK6AHoDFfAHSd50J65
5vixAIRXqPWlqzZHZdHCZDZAqjrDjP7nwjTLuYZ8IwDOdob4+EgU1haOUR/L6biwkQWaOgNtwVz+
FruVOqnV5qsW2PG0A91zqFjehcI8Mve8S2W0T3AhaKcj8moLc+yOZDNivIK0YJR74TyRAudQ84wG
6GN/ocUSQt/DBY4Q3wHULdIkn1VmPa9KW1oEQZFOO6k+H+r8orbs6z5o/GliGHDvE8OBL6jGXyIQ
yTMvb7+HVXOMAtenuElxK8pOfAfAWlMGV9jWzFQQ+4aHd16j5Gd+3y+KcLyOFHWcGG30iQg8r1Lj
spTcDJlD50Yyy8990R9T0eaTqkmsqZbb01rxj+mzI3VunHug/PVa+CjpwyFGiiBRUBdA4REEXvQJ
NGEXzRQpVRbSWHdTu7fnsRwcqgYgjbxLxlmf+Xd6qzWzoc160cFeO+N4rpSJRo/b8maeqix6XLIm
rlZ8t2pgHU4dnTLUI1zCfJn5WfA5C9WLLFGvICcwsMx01F+qW8YWM0gn+MsM55XZH44q8au0lAaK
QHrdD9KnvM8+xgGeLV2qzfIY+yIbHlMboV6ojzZsCKAycRM2l2WNZrMRW+FKF1KDJu5WjO4U5u4P
fbdflkvqyxxW1G8mgEsACKhSaPCpXiX7VQERbHA051z5kEy+GIv2ophiwzN11h+vqlPUr+YZDeng
xFh2M3+VLfwjw1uFp/5yk9e9d4a7vM/OwFRULzPavU5wqa5+k+AG9+W2kZzobv1IcOEm0KPDLpiU
9RVgTzmggadCCVYM2mLPR3LOgYXwKymnaMjBF+aCTwmuc0DDDwadBWNL3WTMT2n+xUPiSoXw6wfo
LT4EKJnIv5kLMiuj+/cywR01P/HVLJDPgQ7SE0pGtPmUr5l3h0DBiDrJpESbAGXIBs01Rz3pcv6+
VK1zEyWDBlKsibJBjMIBahdTwNb9sor8L2lpLEGHXWmpzaEA/bWybnC1BYeFasKIekJtWAjkVQRS
1WuucXj4SCuogDgrx9MCUccZ0nA3LnoMGNocGwBjyVDWI2g9Bd0GVZeKaYKSg89J4ghph2gMVhW8
wkmI6gNnxqoTMhB6VF9AOrsJ8agc0Ylw0IugasASAwUJqUs/M4P8FCkJ/gNoTJSOtBjRnAgcWFnc
2TJ30CrpHNTngtpEEdoGCYJmRY12Bch3Gw0RfWmhalFWAOwGdC6KDqvMHPnSw1GIYCCgehzKMUCC
TlqhG6vTCyzdVSMNy0zvD9WNloZ51eXNFflreR2jthEL2Q2TQbyHDodM0o2xDHmE3J8i7WhAYLak
uYF6R92CD+jR89DR9QApyQmF0seg3FXgnz30PwbbwG5MZ6gy2gz+hUhIjEkcOnf3mkVrlEnxtSkE
RTqZI0piOlgLsZFByI7I/bAK0SGx7W6eo0vSVKyZJ6RKugfZEiSI0TDBmwcKu2uF2bI2oPEd11kw
4P+Zy/VhZqPbXVsckopaw8UuMrm05uqGbVFtmBdxW3QcN4Zaz8wNN6Pf8DQSNStxfyA/9nDPAojh
nCZNUczxC7xNBd8Dy0J1punMpFTBBgEDPeugh4Cyw74rKr7TjTQnwPNmg+CSWIJV4hnRlTXmw7Gl
WWeSr3IgIY8NTcecZJL/Je71m1SwVNq+/ZAL3gryJcFML4y7EEqLOvT3Yw2xq4Xs4pk6jwL0F1nw
YKJKPS4FMwZQojbXIcv0G9aME610v7yxI6NeaJIeo/hl3ww1J0eum6FATN9RAgHFQJOQJ6d2cAOA
pSMLvk7s4fpwE7fYv3pHKBLe6XB7DDg+Kl5/RjQeY5CwDLP8stVCHwGX/jrXg5w82FvG8IWQ8EII
UTY/uzkZsMHf2Er32RuLywCu0aBLFXXLTWoYFc7IUnYsWdYYzLgUhawV4Q/iSyAm44kk+RUyAD2Z
QIdQTehjeyG8hiPfF+XG2YgJMb4s301HL1FWaWnpF0NU3v73XNlgDwX24TfnCq2A+3JL44Tf+nGu
QGxTdIW2g2bgbCTGFD8GSoj508lwkKxQaHCJnsZT44TDAwU3aGg0Bx+o3D/OFRyRcMalU88MSgyi
/qhxQn/kRQNPZCa0cxCL44iSaXXIrzKTVk3VupCc4ZwTrlrIUpzOK13GzifSbLcgroW9MSlaA8FX
w8WhuOuaDwS8JW7IEDnLkfPGl42TXliWtyEORw2iNmJSNo0HrVqoCqgCaMPZCmRhfqnqTEVNvZaO
AfsZMC2yL46w85Xw9U0xIWRQPV4mAS1lV5j/SnkbTzTPOh8RQJ6mwiLYyzELDrKOI8YGb9wEXgq/
Qb2MhLlwm0BnTWBryyXGw5KwIDaEGTHkqtRGowGL4gCvYubz911UfMgImrkwMy5lUzoMhcGx56BW
PwrTY7mhN6KqVw7V4MSlzIbE3810nJIrYfznds4pw5RJIcyU8Ye6lHFXTpr8mtPrGFbgVxlgXyhs
mIOxU6cpzsy6AdJR9CrG3L4bhXkzFLViaqstotUYO8PULqZSU6O3Y8JcApIYCRtoAz9olwTekopT
zGu/hIFAxQnraLTkMS4xhm9joJ5xaPEHO78KUKsiRmmFfVFpNqcY5CBKF3yUacmAIiygQdsgMsoc
3AmmJrLTgT+pjxtR4ZXj/WjbZMVWi84qGByrtITP1IDseVMJh/gQXWeb8YnjUQR3qv4ZDffTRoKF
WOj5vO1VY1YN965lzlUVG3XV9daoKn5vLCbkVmSks1ofs4Ui17hlxYx0ysGcWGYhr7B+vfTLcW0X
MCyVGkVqP87MaamDPkrN7LBV609hmF02ciIT+8DICyeisWBGmZRTX0uXjWJe9p33uU5zZ1In1bFX
1vGslRBhsU0eV7uC1h9EHoa5AwZEVpySdycVYyaPPkdQOJ9yl9Z/4hXTosLevrM54woEdzk313AS
vGndZmur10o66QhlV5I7rtyajgp00Wiee0h7Jmoj02sb81mvM8CCfvPBci2eKVwsV2qSnNbgw6dN
GjkTF914WorQ7KB74GnVXZqKj0uO5k7SPrHnYC1PElNdmbaN3pbnnPdpVQHVVxlx+Qoy6ZClzVwB
XdCBWkWr+zzrpcMyg9EAg+OWCudzmGjw87qLUG9gf3nJPUHqrFQp88vOPms7Q54z1kNYoMI4yhmq
Cy3X7vDToCjM/ZUWD9+60Dnr1fQDss0hpel4EyOPNqkkw6PBEoaL3AMgVrvmTZUV0NN9/OzD6D4c
QTcNqrscmw7H2lgyJ5UumgZe8CHzvY5NHcRzKY8+p6gkK6WPFE2rr0s5/JqadLLwRYAsh1eZcP88
bTL7U1hKKNO3R7aTyGQ+xtz08yMXpuO0yXD1As82CR3ppi5QQQ+zk6xM4kln4WuDfMyXeoTrEXma
s2pzy5lVCUPcTuHBw+5WP1ejzJZmhYC7/v9yLD5WhFsHCj/qDvHTjUrxx+zN1OEf/aOnAmb7hf5o
QmFwLr04aDcfbDMj+e114jWTjuaOGQg8cQV9SBkuOLoB4vWvv+Bheo8/lrC0PFAhkKP0q3J6Uuw9
/zK338Lb8cyv1usdl+Lxg/0cCf3xUmj2AcMaMJU29ejLNZApWDflI8pW+7IGzxMoCGGvU65/cvvc
5o8HAWNIFdkwPIoe7lGs54tFEHaTCtU0adnTg8Kj92zL/N++5H/ysPz2WX49fxNDtt32BEsBLMmw
INE83Cmz0xdLIYSGUDcDBc5P9nIRREK64yJsmDpCd8L65SLAqmSuqeztIrye3/6TPcEc+NmmoGyg
dWWojw/C2+hIZHAQj35AAe1rdBQC1Ds/DxjRIpMO1/FxLVjc15sCxSsCKCu4l3vCeI89AVkAHoHY
Xi9vXuGEYF4Pln5P716ooe0cEai6VbgUEKrFS2yVF6mCfGDaKD9SaO/pIgiAw26LgHU4PsyIWivm
Q1jkVl8vAu1uYNXKw3vt3wEp75w0kinRuIc3yG1uXq8PSHIFgPto0VukUnsZDOSHD7ZLuugcqOJh
ZxV+sR1QKmQyT4/wIfDs4ZPwEKp3WwSQrzSTf/UkoEQv1GgRidnbwPgQrHZYBGICOkVUCAhGbF5v
jkadRwWhrY3zw15uhzfSxH+eKmlkQiRCaID9IiaQQBiaDOtkb5+Eh0R2hydBM2kzK7CVlF9U0yIw
2uiP2sq+xoQ3vfs/fxKcA/rydMefWgqvTwdiAh19HFeE3c5ebgchIbNbnqAJnw00ZVGTfJ0gqAeM
KIQCwr4mytrDBt1lHyA5bsvgW8XERby44ossCSFzqH0yBjIPK71/Z6NAuu/2CNBaQ3CYx/ztI6Af
UChoCGQ8Hhh7ug2U3QtoHRAI9jRQWX9xKtgHKMXTdxMqTQ8Pyl5GBGX3PaFyQKowaqEsb17UBy/3
hHEARY2zgx6keO3rMflY2OwSHgx2/yZpfIwPb8IDVkQkUxwjD0/gHoaH3VNnk4YKQuEyDYWH1+vn
AUcHqM/Mqfa1wSbc3naLkVSSNgwE8sbHrvPrTUGuwAKxZdQfi7Sf8WH3etI84HGng/YUKlncl/GB
Bjw/I63a103xhk/857kjQv0Yl8GXeTwZXy8CrXcgF6hsPJoJ7GFk2L3NSPTjkbdk8Iqb15tGm3qA
3qEChHJfE2h990abjKILWo8oPv5yETRbkTFb2NdFUB4+2A4HJSmkTpMNT4mHNRBN3BcxQaXlKphi
zKL2NIfUds8hGccxjNMF1mrzerMIuB3iN8Qx+tCJ29vE6T36C3TgqRyZTW5erxMnngdsRlF1f5yC
7l94FDT5HXMGTLCwH7YAl29fBJosoAMtsOfo5ovXnm6Nx5boDvGBLoMiskfLeqwp3jwPSFwhS6Fp
zt7Gh92PSworaCIGxdWr6EiXQeEE2Xie7fWDsHsxQT9FxiAdY4HNjQpgwuuDQoBmKbNREOG1rzFS
uC/vHB4cW0XujTnd062+XgoNCq6CPOm+BobdiwnaKkzffjwOYvu/WARipArNxiFE7ukivBEM/PNi
grGLzQQOUfDtm0IsAnLjMoKve7oIAvi+43YwD1BT30gcPmyHLdkTwkhk2nsL3BCsrR0XgYwA2zRw
PI9zmdfbgbyJJJqxvravc5nHKmeXZIGYgEYlrIpfNCA3Kl4C3GLv62TicZK+wyKIWS2ERIrGJ0jX
q8DIIphAGwzS6H2NCbtXVMQ97AuIjI9lxJaYIOPywVB/X2vrN/Lmf346YBuBBSrF0mOV8CYmCKiP
+B+davHa15RJf/hgO2wKAK9iBEO76VfZo3JAR07hgdjX8Kg97NZdFoF+PBxmwTl7yBbetB55HmQk
sMHC72lkMHZuOG0KSoUZFInh5vWm9Qieh7ajTb6wp4sgTKl3zBYYz5I2UjY+9l9fh0fqSgoMmcHF
vq7B7p0mg9xZNTkEaMeL15vOAp1HpncAu/Z1EYQR4c4PAj1HgfP/NZzHdLA8RIr7IWbs6/Pw8B3t
Eh03TTeLM+IxOr45LeEJQcblvNzXc/IRb7PLIjCi02RBhPpFa2FTUIqT8rGNsX/tV333VpMp2DGK
Lj8hoN+0msC90lpgkfb1nBQyITtGBuBdJhqUcMUewuPrI4KCkh8SO4TI3kP45B338HnYPWUQrSYG
+KLF8HSrL1pNVFS4IbAOe5s3vRF6/L8UE2i8mZTXj3nTm+dh06Q2dSYXe3pGCCf5HTcFqt06+pSG
+au5NWAOWcC9hJbyXm4H4XSw2yII1B84DuYRjynBloNS9FhIGf7goPwHgeMH93jqB/Hdhpoc3FfP
9FL/9h88sXHfXuCZyOmGavriXwox1YdrP1AxxZ//81JbdRP4nv30KRBu3unx9x9v8e2bv3izp/t6
+ssVIlXr8tYfNj8YHj+o0OH697/+J+b/7tbPibJ0vjQxMHv6u+1CsD+egN9fPQ/S+6cLHd79+1/i
4iLaP/3dLhdP1ndZ+XShZxfnmfm5jm8lbP/RJ58IAZan6zy7NqnBzteeruN1y1dSPV3r2fWJibtf
P4ub6s1XyqoTVt/h4mldrv+aZlW97S3ofez8FrP7+K+zrNy6/hzFO19/Hv81y0oenqdrPVt/ItHO
11+U99U2F1cxQdn54sv4Pk2frvPsg7/Hdl01ybcsvqvfXl4gvXf+6IdJfl8G6/jpUj8/vUAO7355
nNieLvPs0u+xY4/vyy1rLkC+O3/q4yD1tgQC5T326sk62hLDBK1m5499sq6q+21r8h4b9CSr/vqf
1LuP77etzHts0dP1HQH4aR2ePS3vsUVP12WwbWneY4uKa+fZtuguQEM7f62n9+lddhtsi14CifMO
1y9v7++eLvRz3dX32KWnGZ99y7XfY5ueomS/5dLvsUu5NFpv98OWy7/HTj1b51sedDEq3fnbPLtv
129zR0zG32OLnmOr5G0JXwLBtPMnv4jXt9v09USj9h0u3iTbkjsxo9/54lcBqWMV3G1ZGcFJ2/n6
H/7O9XhjALFD2i4ssyb3abDVVvk9turDG5TpurzbGsjE8OMdlin9axbce1uCgoBHvMv1/85Y7D2+
iaNsXTTbTiuBSX6Xuzhpguqv829BlW9bq/fYzOILP13X99uu/x77mevX678m6/LbelvOIGYo77FS
vMc03v4O77OxxV1My2Z8+rg/j1/R8d79Fvz11ppQ8Bx2v/jvhLZ33ghBFQVD1jx9zmcL8y57OYvX
27IH0evdfWF+Z7Gz88LUa3SH43VTPX3SZ0vzLlv3dzq3u376j/f+epv7kFAE3HndP5Lj44T0dKWf
6yLao7tfvSESbDnixXzuHS5OgyjZ1pcTI7mdL/97n+pdv9SbLN4S54Vu1c4f/Kb5tiVTFoCRv7n0
trbsj0HW22btk5zftl972YsW/+I2vl+X//lfAAAA//8=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_xlchart.v5.14</cx:f>
        <cx:nf>_xlchart.v5.13</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Aptos Narrow" panose="02110004020202020204"/>
            </a:rPr>
            <a:t>Where do our customers live?</a:t>
          </a:r>
        </a:p>
      </cx:txPr>
    </cx:title>
    <cx:plotArea>
      <cx:plotAreaRegion>
        <cx:series layoutId="regionMap" uniqueId="{BA79EED4-E8C2-4AE6-AB3B-CD4489B962BB}">
          <cx:tx>
            <cx:txData>
              <cx:f>_xlchart.v5.12</cx:f>
              <cx:v>Sum of Quantity</cx:v>
            </cx:txData>
          </cx:tx>
          <cx:spPr>
            <a:ln>
              <a:solidFill>
                <a:schemeClr val="tx1"/>
              </a:solidFill>
            </a:ln>
          </cx:spPr>
          <cx:dataId val="0"/>
          <cx:layoutPr>
            <cx:geography cultureLanguage="en-US" cultureRegion="IN" attribution="Powered by Bing">
              <cx:geoCache provider="{E9337A44-BEBE-4D9F-B70C-5C5E7DAFC167}">
                <cx:binary>7H1pj9u4svZfCfL5VY8oUlwOzhxgKHnpfc36RXC6HYnaqH379bfcneTEsnuuGhh/eI3rDJBJ28Uu
6yGLTy0s/vux+9djvF4V77okTst/PXZ/vg+qKvvXH3+Uj8E6WZUniXosdKm/VyePOvlDf/+uHtd/
PBWrVqX+H5aJyB+Pwaqo1t37//wbRvPX+kI/riql09t6XfR367KOq/Jv3tv71rvVU6JSV5VVoR4r
9Od7ZxWr77pI1er99nvWn+/vdaqT1TtH12nVv3+3TitV9Q99tv7z/dYw1vt3f4x/245m72JQvqqf
QBjzE4IFFcxi5vMLv38X69T/8baBLOuEIZsSwsnPX3u1SkByukbP+qyenop1WcIXe/57R37rW8Cz
+Ot/fQaPm2exefo+APHn+w+pqtZP7+6rVbUu379TpX5+WEXv6M0X/XD//GT+2MbvP/8e/QCe1egn
v0E8frD/21vbKP4vCDs6rstDICxOLFNYmCL7BWGYImOETZNjKoi9jfB0jfYjPJKfgPBI4sgQnsMC
SPUB1jA9YRhR20ZIvLxGCCNxwrgNf9AI4eka7Ud4JD8B4ZHEkSH8Vwym8ekQi5idcJNwi1P8gjAb
QQxm2mIWYRRW98vm8GKl36DRfojHA0zAeCxydCBnKl0fYBnzEyqwDXaavGDMRxhvljG8bJuNtuK/
4qkavYbxlvwkiLckjgzh+9VjAQs5rQ5hrPmJzQBnws1XVjI6IWLzB5Pn/RptL+i36bYf7z1jTMB8
j9SR4e6u43dXGoj+P7+4CTphNmHMQvwV2AnQNILBgI8s+JuU2o/37hAT4N4VOjK0b+IanL9/Hmos
TgSmzLbwDzq2s1ebJ4JwYYOx317b0zXaj/NIfgLII4kjQ/hy9bQuVgdAmJ4IamHbYj9cKrDR2y6V
eWJSMPEEiW2Ep2u0H+GR/ASERxJHhvD5ukgPgK99ghlsvzahLy7zGF9gYiYYcoQtWNu/0+2p+uxH
d0t6ArZbnz8yZP9KVk+6OAC2/ASDm2Ram3jWeNHC/mwJbIp9xGu6QvvBHclPgHckcWQAQ7Rz1YB5
PsQOzE8QGGhksR9BzZ2Ql3lCgX9bmNDt9fsmpfbjvDvEBKh3hY4MbVlXh6DVwLVsBDCCqd7vM1vo
xAYzjpA18qMmK7Qf5W3xCQhvCxwZuperQh1iH2YnghEbWNaPqNc4IgJRLxsjTpmAd37fhycrtB/d
bfEJ6G4LHBm6joY8y4ZGl9UhyDR/5lICY/bKErZOEHBpm6ERyG/Vaz/We0eZAPleuSNDfha/c3UB
ROwgPIxZgoKX/IK6AE9ph44JgQD4FxI+st9vUm0/8rtDTIB9V+jIMH8AUw655X8ecWJCmgpcZmbT
V0JgFsRFTBtBqnLbmr9Bpf1IjweYgPNY5MhQXsTr9BA7NvAxCyAUFhDr7eUMVlxwxCBqsg3uZE32
Q7stPgHYbYEjg/ViFR0geA0sG0LTiJngGz+/dvwpWLnIRpSzkT81VZ/92G5JT4B26/NHhuyyTr7p
+Kk6jF3mFBGyu2bJCaIIm5B3frHY2yv3LSrtB3hnhAkg78gcGdDnUHR2iJgIPYHNF0oEiP2DcI0M
NMQ0KbwHjvI4pjlVof0Yb3+fCQBvCxwZuqdJti7UKv7nlzGGQj1hcRsM9YuRHlfyIfvEhiIhG0H0
c/Makay3aLYf6Z0RJoC9I3NseKf9IZwnCuVAFjAt9iPsNXae0CYCKijlfOQzn07U5xWEf5eegu7v
nz8yZO8URK9L9XQIvoVPBDdtjH+knzZLdYtMIwYJKmaCqR7lF9+k1H6Md4eYAPSu0JGhfbEqy/UB
HCZwigkUfHFhvRhtc2y1LUhVwNsEgpzb7Gu6RvtxHslPAHkkcWQIP9TxqjjEYgbihU0E+L6kFXcX
MxRoCzDUyAbsfw9iT9doP8Ij+QkIjySODOH7VfpOQsHAqnhSB6nDBncJCukRB7yfX+O1DGbbggiX
GFvttyu2H/BXxpkA/CuSRzYBLnT57q/UX8frQzhY5MS0LQvznw7WOFkFnMwiGIoPIJCyeY349xuV
2z8D9g0yAf59YkeG/f0mAX2IehIB2SnLgmKDH9V+Y9ghA00tG8IrYhQbm67RfqxH8hNgHkkcGcKb
HGymD3KEip1ALR+kLvgPlrbDx6HkkxLG4RDdvkDZWzTbj/XOCBPQ3pE5NrzX6ZN+PMxODot641kz
9iOWMgbcwlCtzSjGYsTKL9+i1CtY7wwxBewdoSND+16ti4PU8kLGipoYQtwvxy32OWDwpskpfyn2
HW3b0/Xaj/ZIfgLUI4ljw3mVbqpMwBc7RK0JxE2AgEEa60dCY89mvfHEiD0+CwsE+S1qvYL1nkGm
AL5H7PhQf+eqtX+IWOnzAXZmQ2x8N4qGKObgr/1IiWy73xufaLJOrwI+GmIa3COhIwP7Jl49HoSK
8xMOvjWUDP2ItIz9b6DiEDGH/Ij1KwX2e7xlul770R7JT4B6JHFkOF+ui0foyOD84z0rwIqbVFDY
kl9wHC9siJkSjgQ42nuPUE7Xaz/OI/kJOI8kjg1nDTz8n4cZjkwSYcIxOfSjXmynpMg8sYkFld9o
FDi9nKrQK/huiU+Bd0vg6NA9SKwUgmFwkP3XEt74UdspLoiKWxzsuTlKcV1CJ5wpk+01bH+TngTt
b58/PmQhJLY+QKknpieUUcaw+VpXIQiKQVMhisf9KgDdyTq9ivD2CNNQ3pY5MqSvVtkhvClYw9A4
ikDo8zmgves6Q1MSSF2aEDfbptZT9dmP8Jb0BHS3Pn9kyL74pXJVfDuMw0xOiAWxD2DVvyjz2ExT
wTGBou2XD2wD/Wb19iO+f5gJ0O8XPLI5cLVuVgdpOgRbMLUYx+aPY+77/CkEbcN2UhvTNdqP90h+
AtAjiSND+LpYQdpyCut5Y/c/DDWD4C9z+srxSchYcxsORNNxtnK6RvsRHslPQHgkcWQI3+t49RvT
fAlL/DP9HTfJR77hYs+vnUyGBbX9AmLb46PQ0zXaj/BIfgLCI4ljQ/i5+gSOVk3yXt64jqEe1Aac
oSfJ/m0aIl/EtEyo8h8nod+k1StI744xBe1dqSNEfA6W+1GVj/onL/on1jSDdo6mySBT8Qra1oa1
IZvjke8MdOjdL42mbCevA747zETMdwWPEPaLWpXvrr+pMjvEarfBrbIoMC+YBZvXjk2HmlEoHYam
B3vwf6Nqr8+AfQNNnAP7RI9wFpzpVV4fqjECnKMlFizz59ceZm4JOOsjxP6kNdiBNyj3+hwYDzIR
/7HYEWJ/CW2oD7H2n0uRGKSwf+z047jpphGsBRlsQcaFCoD5ZKVeR3x7iIl4bwsdG9qqjFSv6yn7
6dto3aZpJIZt3PrZ9RfM+Vb0BcCm0DHWhmZzP/nFj+bsb9DpFazHI0yBeixzbEi/FGIU9fDPYw0h
c+h1g4j5M9u1k9QERw0SInCMYJfCb0pTJmr1Ctq732wK3rtSx4Z4sDpI0xs49gNdnKH4BL/Wocw6
gcoUk8PaH63syRq9gvS2/BSUtyWODeFqlaoyXtWHOBLA4OyWCS0v6Gt9E6AgxdwcCmCw2n8vRYFb
LN6g1StI744xBe1dqSND/GEdrA5xlQqsaThaTeEQyCu5kg01g0wJdKN7Ye0jgjZdr/14j+QnYD2S
ODaca7hRJTlIp37oS8fhJBf4Vy/u1x4HHCqKEeLWiJc9vEGnV1AejzAF57HMkSH9EUxnfZB6YWjK
DqXf2HytNx00zYCGscik5siAv0Gl/TiPB5gA81jkyFD+ouNDONRw6waDNgpQpTB2rsD7YnBaD1rg
bG/OUxXZD+yW9ARUtz5/bJDW3w5Rl7I5vYOg0QkUjz2/dtpVQVNYaFXFgYCPkJ2ozyvI/i49Bdnf
P///AbJ/r+LWF97cdfbXz2e7J+Xx1lvq4OA0dPGlUIWyf8PdNC9CcIcd4L6vDAXaK/+6We/V1OrL
5X4799T9Lrv1HV++4t8/lMPcQvf6DXW/rvpzV9Vq9nxJ4G+X1P39u8+TGu42HIn+8Ev2gPirqOv0
6c/3UAKGbehZ8huym4G2vJqf7OfnxNiWW4Or/ed7Ay4x23Tvhtpt6OC9OXEJQ7brl7c2zTCg4S8Y
bAta8wsMm24K97UEP+4xxJhDowUq4CMWWPNS189vgRcGP2CQLNvEVoCd/7rG8UbHva/TX8/lx7/f
pXVyo1ValX++h45J799lL5/b6Ls5BQZV5VC5CNkVQjDcAgDvP67uNl2y4DH8P9TYRWLoJLke7OAM
IyRJo23ZRak7pKGeN1D3KEMvviRZHM1tTJZmjRYqq66D2jhN49AVrXWbIsOpMTpry2wV1eSLV8ZO
lFaX3YAufEGWQ0ALGRm6dwLmfyn7+LbxvGhGk2QlTEodEvS59OI6cwbUxudJH1syjoJS8qRKP2kc
nNe15hcpTm54EMVSaGHKgRlOIaJv1LDn2EM3Qaevs8IOZSbCzy1qqNQpveZ2XrtWHTEZoVZd11Q/
Ua1DaXdB5QwBo45qInRq9/yiqtgp9pIH3HfrngyXJRHfYq98aPtGu2HsLzStz6k9YKkbem1rdhZX
sS9FYH/AhuEOuvraBnReNkUjC2TkshX8hojiPE70ddhGV2EbzjMDeU5tt8oJWWxIVBifRFJkUg+Z
a9rhRVAMnRyy/hyLqDpN7TiXSTSgeUBFMjdC8bVjyY3d1Bek5voqy29NjedJpGY9Q9dwbmhe4+6u
R43swlBJXKAVRoGjYuNzQ7xP4ODPaV3XUjStvcRx8k319YfMMLGbDHUkURde9Q08ujyqb83O69wy
osnHnJzSvuSVrLivJc5Zc+WbfO61XiYTm7ZOXzf3QR/O4P/VXNEydqs8/ViDGl4+DE6kjE6SVi9s
ZcKz4cjRZn+eN4BDGBpMhiaPXd1zU/Y9vlNcn7et90TyLJSK0gei6Z1hMewYFb0QifZkbbPACbI8
lqoI7gzbO7XDilzYugpkl4cP3Esfuanc1EtukyB6CtPioy/MWsLh9tbx4UstMw+1jjA8Lj3d+Q7c
pTDHpOqkYp4TaxXNM1W7g0iW9hAtTNIsIwvHs7Tu+plV1mtu25lLaN44Jss+a53MBMrii8CGp53H
pXJ8PbQy7VApcVl00uAMyaHrtYRUaHY59MWHfIjuvKzmDjHDQmplIKk6zt2kTmsZF/rc1F18gZJo
XvPys6LsAg763aWNVg5TInEMNAyLJA1rmXpFOxd9CjMTW1+zNL/nDQBvt77b28OVWXtPXmMgFzf2
ncj4Xd16yxanhUSed8oig0sbJr2E+vZ5N/DYKVBKpOVHpczaopVhXjSOMfQrHw+lY5eG78TwRGVl
FGdVY7hmRGeoZ5lEcaKuofxqoQYrmfXRnRFKFHhENv6wMqJ+VTX0we+ahyhGbt3xm8iyIqf1B+K0
Fg4lVsbHnhuprGI2C4ZqHvQNPVMqb2WGKhtgb3yZGv0KcO3PSGnPdJYRGYHn6loGWVtdeRmbxmVn
VulM8T6dmf2w0oNa9lllO5omPcClMtm3jMm+0LW08vY+Ya128rJCC8/yhQO3j4I+TZy6bQ0zEH7+
3Yq7XvZ27MmIKCZ5bNzltbkuE5gShCbqTDP2ISvyqzIOGmkhss4y85oZ7bwMOyoNKyaztGXWnKJw
HphDceEhc9GlBNCGJ36ep/CloxRmU12lX0gS67k2wAb7igunaQoiwfQvPUK7pUb9KqdKLwSYRhKp
eY5rwwkCcjlUwXUZ40TazORur/B9Gyat9Im+yUtzERbkIRvAVmp0j/zccvTAC2lqtvL97CyjwZkF
X85tlUmlbdYfDDogxwtVPovDJpSFDZM6Kr0vDR2+FFV+F5TEX/qxscxCVM8SMHCSVPV9xlHiFhHg
iw3tcly0Tsu8VPpJ8S0sYjAVmaMDcQ2GbuHnQSItUj70XvsxsqpPRc6xG0f1JyIGc4msFrkQcgzO
hzJsXMUD2+mDOJHaz3sZI3xalOF9SvFiyGrtehH60kadKUUczu1YhA4XkSVxRqUorI8NvW3Ls8H7
3KpzEuDbNMwltOv+GBrJB4UTgCatFjTVVxb0ZXCyGJVLM6RrBIZ+hjpx0ygKS5sY3tKw+1gyOqhZ
zFQtFSGuFu1FmcV3jbCWrIvB/Kp+NvToPrXpeaD7QSq//sSqPpRmXp3l1VVDe1nZtZI+829Ij5Ub
a6EWVl6Ejl2oT6gfFnFchBepAeZ/MIpL0TNj3vR1NMdVF8oBYSzLjANaXjJrM//MFtxwSsqDQSLt
i1z2NbaWpNNrrpLgsk0rSTIfLDb7FOqkXRSVYkpW+dBfocBUTlACzqwf6NLn1Uwpz9Fgv868ahDX
CBf62hyMYemVFTltWHAVFwHnq5r0/WLoOgvsMc9nsHmEc5H788RGl1Zmn4I1OqMeTB3oSSGLyhhc
oyD4o2IZWIgm9yUpjWWQkytCSn+ZBuYa9+ba6/1vsOWEsg+6ZW8absKZa0UmfHXQscRIu1EXP3Yq
SqXtBwvLDC1ZeRjMg08/B13SLHpUhbM2D2Y5KrW0rGFOG0M54Eqd+/Cws2+VeYaIdxd5bGkYrXWl
CnaNs85zVJ0gJ4rND/D4YRdH8TrrwrPG8tk8y7vboqSLkJela2OWztPOjJy+MDNXwcWWEuXt57Tq
CqeL723SuzS2PyQiv+nzsJJ0iE5bQueFim8aWCey1N0cVdkD0+QRjOtNJdrUiQOYAormd8go5mDg
0KIlBWzZqLxKA0tJNqBlSitLijC5ZqLoZeQF9UyJqJ8VXQXzofVjN6BDIAtazpIuDmRGSSmVtlZD
aaUybtsFUyEYZ06vIOz4uSiyi47FzNGJMUOqc+yWf4GtZd601l2RN+ewcpfMoqbM2+BDNpSZE6r4
skWw1UboQnnVuRfrT3aGPrdeBHtEyj6VVnepO9Y4rRKGDA2USWH7H5PeTB1kxKeDOitIcdn5/jxr
rcitFb8N7Az2aIN+qLPmcugCaabqW0zsszxCMcDeXzQdr5d90VeztKOXCeKpQxMwhEawMG1F3dwm
y0hbF605nNcFxo5vD4VDB/opbJPkBnvm4PoVN6TRFpbbBGSQTS0ypyUWlnaS9k5WMjLjQ7EsiaXd
wgy/sRY4DO/qG5aVeCGKRi98UZYXSQ73dee4PY9DxsEoeYso9oyFSNoQOKdXweKyYz6QB1oZZ1Sx
ZEEDfSqAbWUyznBI5dAIquTvd31vkfxHnfWF8oMf17X/+ud/HnQC/z1f/v3fH25ue//vvxZrvcmu
l+MPbdyxX5/67wXiG/fn123iI6fq5cr4Vzyuv33zbe6Y+bfu2HMiZI8zBlI/nTEoHMXE2jjfGE6B
oE070V/OGIZL7uAiLeh7YwKVJHCf1g9nbNPU0IZcNYfKcrjrFNyx/zpjcIct5LkhMCOgGzEG/+kt
zhj0rt1yxsDhhKgA1L1uSiHhcmTKwCf93RlLYwjexqDGdSOCqHRDjD/4trkM09Q4q2N/hioyOLbR
9NJr6tOu7ZHUiQXkqxFnlR1RJ8MYzf2wf+CGzhd1mMQyRSqWwHxmYZ09+lYHLt5Q1Z23oFTXhouN
+mMJc/Suhx18QQvqXQSkp6dhx1yaW9jJWFNc2hapwc5awbxj6Fvlld9Nr66WWZteFVaIlEN1Gc1U
V4Pr0d2yJqS3eZbEjh+13DVj4LMFp4mMBbBGH5ab7EUmZAJa8S6ah35tLFHIvFmYbNhVrZ5QanW1
WzYe7E9p2Cxp6fnSzwZPVjjyweCl6NqzQi27OoWfBSJdMhQjoInd7aDiVBbMRPBbVCEHLLgsMM9d
gdvLmHnXoQ7OutRaVkWSw/DWqopxfk598GZ01diy8cI7bZdORPV5Y5gEzCgGi5zksNEFSMmiLma8
zgOnCKg3M7mxsYj3oiiWWWDyUzsfboo26l04ZfQJnKVHXeirHNkMvMLgDHH7xq68B79JQ9m2hdtE
4nuRkVOzFpd22ZauVRrUAQbOFlmsP4dtfEZT9aULq9LphfG983kANFHMVdx8tVOxzlKWnyISgEuZ
VlymFB5LE4ONwYEfXCjVgu+bl+qrleob3ocfI5Mlsk20lnFqdzODi3aW6HSQQ1l+ok35hdPO0WD8
ZpEP9Kb3VQB0KP+owSWdJ2YM4QFOfbc0uwcN0Mex1WDwok0wyQNqHBob2vFJfZOVQNVM1oazYqgf
SVZ9bsAVS/yUzD2MnjIvAi4MbvhZ6lnSMzie+ylr5rTDnjPkpQ+/3uoWtWkqaXokKaRCue1mBJ8a
tRALnyehg7mGhaD59z6kLonKbzhrAym8FjhbWMKmQsvvbZpR0LZPHFj7mZOlUTxXA5M08IRkhRBO
rmCNeJ2OZaODwfVQ7uC4whI8/4XfUOEGvLvGjbe07BTiDOk1jfipYah5bZ0mieu1lwLGLEl1n+Vt
5dCe3UQJ/cREcg2kPpYtDnvXC7tFhJBj5mpdptVnFgemq7sKXL8wE7MSdnJHi0rIKkznOsouLate
lEBOS78+jXL/okqyBDhx6Sirv7HiZklq4NysFTDbu+46ia3hjJvxl6BUVzbNUknNlp2GObuwRHKl
qmwRG7iSvOyB+0fRICmtlOsHiDuGj9RpHaoLq1bgcWZfYtQBO25L2I2R94Ew+1NdlNdWEpFFEGnh
diGijh0Q2y3SqpeBzyJp1NXCJ0kqBR06x+iTu5Z6nwYP9MuzupSDwmB6QM5P4k76VexmYXTqDcU6
TzGZWUOcyRz4swmusxP0NJICHqvTVMEny8O3VQvsDqu6nzVhSdyoKegyys3vEDk/J0pdqCBgsosT
DNM6d81EfRkofvA8wL3wNHPyCuItUYjubC6+IC9MpI/TW8voWokG/p2KelENRi/zlHvg4je3RVAv
vNR6aILy0mwMX7KMn0G8AUJVLLmN89TtmDLOgjb+oOwqdc2qO6M9nzV+DNS+s2wnzOPYoWkbzWJg
4e5gBpdD2hpA2HUHNDj+7g/eQ575WPbIiuDLBdmiC8KnIrOvfY1SafJ2cAnEJpwUQjfnrQ/8u+LZ
nLXMl0M+3PYYtzOjqTInEv59h9Wstoyl8LJzIZJmTrLizOZ2ALtA4Dt5nvQL3NLaiam25+BDf04K
c1755iovO7XorKB2eNtc0Tr5YNnNxcA0iFpqRhoyL0J/1mh+rrJiGZZetRxgEjntAATGJuYC4k+P
A8oubR9sdifwjIYb6l2sq1BdVl2+Gjp/xhSszrKvHehr8kXzFHw2Hsmu9WZeZC5ZBdbUr+akgUlg
gj3CsFMwFXPXjtLY6Xr2kNXqciD2OqrAUCpM9ayJ2RIWdyerQV0i3BayK8V1IQZ/YZH2YwzzFvx1
Ao5NWwROYxkSFtptYTeNpGzQC7P3V7B3FjOtgloaQa9nJvSyvubc4AsDLkZeFGXxWUXo3k7rGJxm
8QGx6ksYBZ4EB6iD+ABMjZhlCCwIOGoW/4Y93i0KUcxBv2/gQmiZcv1UegNELkPUuGmAh6s0Cm3X
y/Ib2PMuWwLvtVlwXgmIvFRN4eDM0DOR1E8ejTKwovkTDtLrMBSl4xle5FSNd4kyWkvi98EcAqKN
63cVkV5Yx5tVljset68CZsIqy1QqDQUhhdpf9jZ4RAzspOEFsjXS+14PwUIZ4deIZY92yxwcJMkC
wrML4BGAgdfcI+D1Tt7k7Gww2GlWBbAVpyRyYqBGjkJD71ADlddiIK7fJ98jM9IOT9rrjnlA2g3/
wsQqcUSVfYfYjj+DE1xfWm2gmZEnNoxEV1Fg2zLzjc9mXnu3BU8vwZqXwrskTbAIFLENJ64DfmpW
kcivdBzrgMpCmb4vIT7RDDMTiTy4+D8e/ZzW2FzU/cfvbH0rrbE5VfPcKGqXSj/f8P0zr0FPzE1J
3+aCJDi8g4Cq/qTScMzSFmBEMYeAA8WbTlU/8xr4BEgu8Gto9w4N/U0BLPtnXmNz+SHUjglhAgW3
kU3fQqXhSr0Rld6wcQsqEjGDuhboUbt5/7e8Bji3QRnAHn4JLm4SOHaUV37l1NSOzhKVtJnloGZg
EKknZmZ1bpD2w32tPdgOU/8C1yGDSZk6uMod38y/QqweoZsWlRA+CZs+y2XZpOI60dVw5uM6Vqd5
1VsPcGeJYZ+i0iwM2LuM6jrxsHcW9RS4kRXB3nOvmIjJ+eAPcfkoIFTRXhYYkha3QJYXDU3jtdfk
ytWpAlNTE16HCzPkCAIqXDV3Vd5XpyQGfiiHIYiGmWf29deBMIjcszwwz61aeOdFnofCSdM2mAWd
yJ0iL6pZbfbq3K56cuF5ECyTofAEVBGmgZAk99phwQiFOH0a1DeBZa/6Pv3KIv8xpCSZQb1B4mTU
XmdVsqZCo0o2SU6e2gqiKeDMW7nfnqaDac+ryKi/ttSnsrFMpZw2qhEE4dpQVqrin5ChMldErQdx
G9osS5xapwHYoQsjspJlhAp2xfK6Ox2yLF8Qu9FO0QwV5D9SCEjwDEL7UDYMqQvvEsDNXFpxB/iy
5/IqOee10I7tFeyyt+3hNCIQ9FCWiCURAcQ68kQW/maL7XkIV0PWqWRp5GZcrDkJjAVvhmWMxDUO
FV1AMLKSRplE0vcg8lqS7jMJiOdG7dBA2M9eaCQ6uCG1c6qgaK8i3FWOGQSdI2K7cws46jILjcy6
Nv0oujdaG9+llKbr0CTFWZKr9FPYkMKBqPZT2jfh+f9ZrWerZYKFed1qweOu1rsWayP0m/MPTU43
/R3MTYtjCqXIPy0W1DKakG0HX14wvGWxNmWQQCAh0wqV6tA4gsKhhZ8Wa1MtZcM1n9D6B0NrVTBm
P43qVpAGktB7MrH4OdP630ws2EXozwpRCQ7agc2CSMC2xWqyrrRTP8DXZUdMZ+ia07YnuYsgCgAO
aD6H1A640VX/iVkDdkufPIJTe1GJPnJt00vmYeeRRVUAh2i1KVMzvTRCs5Aclrvblc1VB8FAF9KR
2tG6/taL9Eug/FmfxHcRCRdpX51Z2LrLM0h5hHkP8cbMKsFjtS7SJIJt2mAfygjWWCwSoH6t92HQ
4ScIvTKpNdB92iXXto+vUUtnItdnLM5PI8iVng6NVzh1ZHGnCbqFD1bL4tl3kgWQhfLtsxSiZhDk
+sZVL0U5fOzKREswBxC3B4spwf6kLs48x+x07bAs+Nii+mvUNcQJomBp1TqVELArZBJgSEg1Veqo
DF9FSX4WRwQ8uKL4njcBkp2hId8b82sF2VZIOeXXod1kZ11SQXpNeb7LEh3JKCh8R5i+d1VSbbqB
qAfIhZLhO7ea6Koh7HFQ8HAzLwluLa83ZVAW66AyxWWo41NbGODIWlm/CNKSX5eqA+PJWkCtDiCI
4Fe+EyXgboR+GsgGPKiFajpf0qKxIUrP/FvTxwhyGaEvcx880iTdeDxtq6VKMPCmPg6XGHfxzFDK
WoRBPDh4IBLTzoYpoPUy8Tzkoq43FzEp1Ry2Nm9OWshRFUllLSqNk1mKwwuU5udDFYJvik6r3h9c
lfDv3gDxyJAlZGaUCrt9Delc5LF+EdV+PDPDgMODQP2MFblYVCGFjRDM8UKApyQTv4DstULqDpJc
fFFndjD7H/bOrDluHPvynwgRJLjilWTuUmq1vLwwJNkmuABcQAAEP/0curq6Xa7u+k9FzDx0zDx0
RXRYSmUmQeDec37nEpxhgyq+LAsDMQLabUAesMWGmVjxSccljuHtevE+rcicN86mmeurYUeE9rO2
betzpJQ9QHJ6dlTda+3JHSepg0Iz4NFyCmo2j6PMjSw8D0wFWeW7OnPr9hXVVH6xKmo+SF77mdrE
IbfJRHSBe91t0lGUooblm5xU43uHTU70MbXQa7kNrS4SKFDtJkV5myhlKkGO3tzsddTtylIyiCcx
jO9NzEIVIrI0hAdLGkhd0yZ6xZv8tUKIaqCHxVa0O/VDI+tod20xMeqIYuT7LNe32Td8Pw8+3F7W
Tbe1vwR5sMRFN40xDHdb3sQkMQeY2eEjhU5Xs36G2/pDveM/lLwamp7Fu0pW0mYlb1Bup3w8kNo9
+8T6+4VXce5BHZSbTGg3wZBBOey0ctmQQNUGwLCrN3mRhN6xht5oVDPnquLPYmzOSSPvbaJyQpJb
FX0pE3rRfWw+ubb7ZuP5ZgkJyeTkN0Vqtb3RKpFHxma49lON07P1bij+GkdfY0z4fYRPm/trd+tZ
aHOGJS9rim6nbtY0m5X4qhJVZaUQp75xDwgM3ugIbUPPTVBIkfaHtt6wBsOjAjb6kpkaHu6EH5eK
DnmigmjvHC6hP4o7Taqnbim/eL3+PITYHiD8mCJpp0tt/deljeOdaoMqN6qv9j6IFh/axNiG06Yt
0M1hgVipzK1K7UfUjF6RkPCeLZvKLxJ5gvmPn5y9JtNtZ/Jh7i+68Y5damQOzGLfeP14VzMII03X
eBlZWAFL6JtCL5dFpi5KTuPPbakFDGy53Eo6v/dhcpI6+tSVIjrVws+aaX1bfDNlul+O+NDdnlMA
DMJfiy5OrrzBLsN6klEYrC0jkPx6/0jG+OjsWDS0btDy2QewQTcoGIO8rLu3OWXHRAZXvxoOJBwP
leUFrimsKh//P3rlKWo2Vevvqk7uOyhZ6PfdaRYh3+mky0nYPpSiJDgLoCAE7sLn7kEwUvg1f+7a
asdjqLAavrkW9XNXo9ym4H5kqZJMOBiHKZyiDiWjQtPMaB5Q+Hxauk2cJe6gUqrS+1pA8qli+ejV
07T7/7XRj9oIENhf1Ebb6Hz559po+6V/1kYIaIUJHk6f4snk4QaV/as2gjGCRorGuOO22Wj4p9+7
uRQPYdyeoorkPgoh72djBJN2ttQuA0YX4yGN+Ke/URvRbQTmT5TaVhulKMFiRMS3d4EX/GNtlKJj
jGPirXeB4C8jtNm8Q4uSyWFEgbSKfTrGB9/2wLhIbhb2InpXZZ6G5iZY/Nyk4W3QzyfRNLvRpKUq
kkRItqu5HT7Adfd3PfUeKiKn02zrihXg2sgb7eCtQDgLDL8kpRHoQaRXZnGXNEcFUWsndANISg5B
0ev4ybZooFLj7lgEH2KRQTHwtc3GpX92jrz0kfwQ9JHOPOicuTfZU0zcHa/TM54yXDiu3ieAZdC5
AGw03uPQ0Hu4+S/UKFnwOYC4NLe3ZpjaXJfyu5vWJuPU35dhUhV0EsEuosvdDNxr7JqliEygC9fz
r6MVazF7pcrZku4qb7b50HN/32LgIewOErqTXXrwI7a6+Br+d1vl2gdwoZPc83mSG8HB9VBzmczw
kXvsMwmTHoJa8ND2ajdH4qWt1zWbmvXDDAjJaH+4+iUMhaH/jqkehZnqRwY3NzOBuBkqcfKFe2mV
vpDefPemyBUecQmYm0BDIIYoR0g7Z0HXHkdFBohRMZTknhYlNr88Gnh6R93g8tWNLZRh22W8t/nM
pqboGxgFwnNkl0LczuUC0Sr2knfuqrMMfHeYS+zFavFzmdITi4Oj1tNd2U1o873a3fJxGge4JxA/
D3PU4QCLOnEK5ilXKoKC2Yos6KHEcgld1SvfWgBLbbeQLNRL0cjltYpRQeI18x4+F5R9m1kOlI4H
5NWbqgbNLCwFvw1yX7Fvrm3TW8gqZof9UO+p5vFNZwPANHJ64qoMr3QW/cWnFZCnhDXFOukjN8sK
wAMwUWeSIhXCP0hSz/sO6/8K//yAY+pERvXiRdHR0/TFmtnPK668YlbUvwYDbW4G2Q9ZBWZ1xyOx
wklscIYvTZgHYFtATfjedVgC+lDTPjnWrTmwcMChUp0F6B/QdfQ1DeKoaKWr7/CIdEB0Ubh3qdjr
WdkCVVgHekC+OdXvqak/9RXJcBS2u4rjejad6+7Q/KDuEoefNrV/00Fte8C/+qffSNYgivCIXxC1
eDj3L/3TECym7Qjz7zrxoQ2/RlFhxelv/wk8RiMOQg97JCYQ/eLPuqFaFBSC8A5Gk27v3fAs2f+T
quPPp02ELfunr/lPHPXPSPpvOPtGJv/2W7+fTz4eRrY9i8qLKbpt6Io/nU8Y6ghN0YP/gTMCyPw/
z6cQXb2/DeX1No6e/rD7f+/dN7URL4huO0VqecOe/8b55G+Q9L+WHo4n3C0UDwyPMZcMgMGvx9O8
Bv0war1cpQ3YztgSe2YfNEmbt4k1DyCU3blZjGx3ntfOn+c+NFiiChabYnL8+NO392/ugz9TBDgo
fwAJGBge4uD+BekOpRtaxrW50lH6V3TcaH100oNeW8zcs8zYUH9OzEDgZIsUCufYTPDUyxXgC9S6
RH5l8+zd4TU4MJau8z+sEUn9g4uj8pvviL/s//od01/FWnx/IUbsgnrY6oiUAtn4WawFUslxbd18
DZaoqop4WbsPBnPegv2cOODoxi3oMUDmpqC+463Pa73gIMzk/AI0zvyVL0r5eU2GqFBz3ZtsFhyk
cTJFKEurvuH3rWZnoRjH2Q+a40Xx8dJ2FvZ3Dbf9Fq6e+Z/2oz/BHCBDMDIYZAjQf4hKvyjQiSOV
JUMHaGsu2UtfYbPPwpZiaQygiO/tMrEnQMjdp7/+Mv+4DUKL9zcdKQkYxVrEf7a39ZPwHXlLFQ6q
kleZrv7Vb7m+SgW5MS35y1//Jej4f1j1219i2AUTPM4T6aT0l3U2yNCt48T7azp44eto+6k7lHPq
aNYOfAcrZ9MnPJf2eQMUWfxPi2ZbFD/fdPiU2IFBngTQyrA7/PLnwePUvJKihmbcRq+i0dFr223v
IVqF2sUT+Abn4dIfLFoZiu6uT77NHVMnyyCDL3EweXlgm74FiS/Fh2AaQBHz1LlvAzGQM8gqkjxi
fTgdoyBedfbX357/5wsFnAjbBigQUEcQ0f94obxYRzKKSnLr61K81tOM7tdH8YOWOEBxW50tr9u3
KmVA89aR7+M+XOqc+ib5PqN174HCVkke9o35Vk9B8tWgOkrOf/0mw+hPF/mHjwLuaau7cXdulflP
yyme0tqbUIDeNuE4lCwtZsbXwzIvAdvPRut8WkbvwQiH0pbDgc/Bjh8UnQAbhDBZ2m4Uj0MXiSVL
Olt9BJHcn5ya52yIxuFDrNq0KEeJSES/5RXqOWgsPEwlr3Yg6m4ka7CrKp+hm11LKXJqOIj8eO4e
aVPdV0Del6zTyXidy/F5poIERQxQM/NrR7E3hBq1qWfT5qbjUfq59HR45jH60BUUOsutx0MoDJ2r
TySdHKgYl66FbyOkOZrlfVDj/KQ9ksApFXOyL9WoT2FJ6fPIfdseyoSABoITU76hS4KXVMuRfNEi
EfBcFT1B7BlO/si6r7UZoBgNgWifalYuSWbGsDpP5aRzGLLDwQ8pu0OtvuxCO41730fnv+uixIdE
Yat0hG/Ny51QwVToAex0SSqv8P1+PuKoQQkmQSpn6Zx0nxbh8Qud2PAUBXN00KwhdK9isb6mcT/t
AO006960abUny+K9UtXZ76oahihf6Qx9QVbUVPtlbnrcHNbuXGV0up/6khdw08RR4kcBeIRTjy9a
mCRrFCIceQLiJkv6aFkBgXcljDMixWGKUfaF2nkPNvDDolaT1yHxEY4zOF7L1GEJkuUmbte1Kx+0
HWchMtSPTk5fOTQSun5WliDwAqJnwlbev1NQajOEXj1rPXjXuZ1Fu5xZPa4Hw/RcnsRUA+9v0Ls9
eQkJTg0ACZ1rXIMSWqEH32blAhkLWZY4D+euteMubm3l5VM3++UdH7046Y+tS6CNuKVj802s5gAr
ypa9r2yucRbuY8Kb8s7g1olBVaRDigUXtErsZVdPLOtGHF7lbgExnpMSMUDolKUnQxhPkLdyqMq2
3Nsu6cROlagK9tD9BZrHNcKOKUHh61zwiYBGUq5S96omQux6ZAG+E22S2iu8ns6HGvZgeo1IWZXo
b5I5iRo0PQo0N3gI7G58N0CdF7tSmXXcs0nJeu86RCCOnlJiyCPqOiRJFsDsh6kea5LjstKPZBAr
kiJB3IoC//PIHSQsovCVSzhXQjD0RBObu13L5/hx1XMQ7BvSU//CLYcAmCWc8vlQol+UTziMg3NT
rRQi+4B3sOshOK671F9WlqeNG+ytSB2WNsGtMgG88vV5QpHfFRVYbgix0uBy1olCfSLXJli/dW3A
4iLFGxBF4AQH+ebV4bGqE+CPcAzGoKj7uixWXcK1AOQ7sPumtFt7U4/NmomhWcnFK7tw7w9lFeHt
smRAfIWv/QlysQV2xkKOwAl+LvNZzSSWTxWM+WJrsoLrqcmXCU+Kd2hrcB/Rq7/Keq2z1IQkeHad
pfoaD8z1hWTjfBtpiSOpUkmLX2AiwLdV1tyXn1e/k/w8wn9Z9spGa33x4VA/hw3s12iBzpalPhbv
XsslCXYKaQO8ee03ogCsCMQ6BTQDxX38DJgblUVTNeZJIX/1Nkw8OJrEViUaYZjxgE9KvE7U9c2y
l5Pxr+syBOGDmiP/2Z8JfsLGRKX5jAzPsjNUNPVxWiiFqZtUit7VJGEv0hu3xdk0ozokneLqfnEh
DFhvtLg23Eq8sR5kmX/BCcZekG3E6hbYJacCD7dZ+tMMnoPeN5Nu20eaShaelrCxGo31vBWf3C33
UUviZddbgT8NUwlu60LFvB68Ntk+/PbWLfYnvK9B+NcwAjX2oMcIXxWYNLT8rDW4dYauausHOSW4
5SeNqqDCv2FPpbPkd6MfuklmAUBNXG47LfpWED7ATfD0uOwXPAIi2GIJdNs0cDPl+ETYQBbmb3Xy
LMVLSQN2Tk1dpxnyKC3WhaviV4tsIprjqXGPCGd46lKhzG0uPWDD5inFaXFQ0vOvI6vGz5htG48Z
B7BJz31aMX0peV+Zwk0Jgk5r4oLDgFhSi6jS6N7bro3uF628/jh6zrQfbSwqBauHiO9uZdseUo8d
L9AHpMEOaCBX+yEW7CPZTEGQDtWYJSG2OTdZ/lj3s7owsbFHEZ1ohW0vCnEcccpepoaYatdRidtk
JWXATqHs/fGbwIbszqmPJbWz2469ayKCb3Qxq9nhkLHjxZ8g9eYl62aDkzYwHkrvsfkyMcOeCWh9
/7wyiFNfZyWdgobtJ+ZUW4qXWoTP1zy0VVydBlwWm5OWxfu1N2a+BfHVPTVGAUVM1DEUC4yy1ca4
OK3nqxV8bNv3tzJewhsye2G/46MU5lI5oFR5GinBn1GJqK8ek9hGsHXCq0Ks1KqMWQMgWJZufOqq
0a8/+f0apAahGsTUPgxzQBheTJXTjiekrc6kHOwbrzxiQD2puD3VzPMfFkXK9TBp0LW7etVYpDWd
m+B+abs1usIk6jqgj8aLb0Ofh0vuUN2oneUDrppNZV1l05oI7B1KdcgYBQto4I6m02FNR6z+Nlyq
pHDwGQF9DSoeP9rI+c8Nn7DWcNKxF6x1oe4lkz42WIrg6z4VPLagoj/TVNt0s9JM8iGicrSFjao5
vA1L2BSPY6nYhMMdK3o31AGuJhoHt9zUwdz2N8k08OCeLl4Xn4DFMnyuZSHVbTuRwRZCldgzUI3p
+baDX4E2krXVXvG05YVdPO/kxhD3vYOhXmdhyZPbH1XpP4Lg/2hxf4sx/5xE+DmY8L+TcLit36de
9d/nXyMOf3ih/74cxKaz/2cS4rE23yZVf/32swbzW559+8WfFJUw2GauQh2J0wTNye8wBPAt9OJ4
giiaO3SQHnS03wV/PBR8IyTQ7sUMrNYmw/wuqAQY0hwhuODFfoS5UH8vCcH+1Buhp6MxzAhAF5B+
t8kWP3cdnEoTGR3Q26kfxyG5IR1B8C/D3BMlvIKFTXvHNA1apJxK2Ke11eved85HqHOuo7u087o7
3Y8EdftCThFOilvdEldYquRFlEw8uUDaO72Ew8025PwdR689U2Hbp9C30wVdFc79eUm+lRTVRR+m
5d5vJoC0yTj3X7gHDSEjhrXFZAcgRt2hpb4tVgD1b8bE/ncS1OsjVXGtc8YlAFCH/BKe44lodzwW
C0VaLfIakdc8ae+F0OUzbRiQiIF0/MlrIFuoQ5f44woYipdjBossDZbCT3D+4Q9qz2iaGahhE8pU
m/buFcIKkOXJT62X9RMNi3KNjXeN46HZiQi1zwfSrJHIRtMmSb7gCJpAR6CEgiPpxi+t1sEpNGLe
rYBnigTc1TRg158HOCwy4oVnJhZdzBBMrwiFxhTEhQOYyjy0rWREmjF3tQwCCMiqOTkOlqboEStZ
fWWSIzWRX/RJ8z43HT8PcRmst1Ezzqf0B9i2boybmyK5BjnHwkRVyHDokN8U4v/T+8Z/346w0Zf/
eUc4oRr982aw/c4/N4MIo/3Q44M7gnIEAPOn3SBFxAkZWxRs/4Cc/rkbYHhvHG7yVoKqlaVbZOr3
3SDCTPcYTxhH2OoHy0n/lrwa/yr1gBRFA725kHgXAWirP24HAe8GvzLJfBVtzPd939XF0oswBf9O
UYSgQ2Acy30XcuNxuWtNa3eRP1MYewF10uYh0tDdBWttdJjEAA80QsrIRlOU+Us8wlWPULUccHcJ
eHdh2NXqAWBiY2iB/q2XX9Yp1uF9ojWbJATEwYSXJYqsWpBkHBv1ittlgtIwx2WivHxZJsNUBrpj
OjRqYLCWPH6qAGAhPmnDD2MPXD8F4DPqHk1K2KJ2Rm7UXDCY1+1pWstrghD0o4/O9M2DSDScTMOr
N2CDy75Tnrip47ZHpqAvrw2B+2JIw49xiFEByGwE7gHDZcqT0r29bWVir35j5mIqh++9TRUoSkqn
V1j9Ku/mELUULyNwmBig8EztKIAyyug9XTt2MLyzN6CWMCFhrREeCYPHdPW63RKgpuy0t4So7WHm
R/NMTkHsuevkTc2+1Y1C8sAfhgyNpm+zwA/ecJnm44j0JUKnA/MLxjj9EqzDes/XtUH4nWr6Bk08
uqCaqk6ubdSnIFJB4WM7upcDq4o1FfpO6/YdX6k8jdDkn3xVe13eeF56GyJmmkUILFydaCuA6BFS
MLVSBwa2ZtesLL2uYx0dxSibnDkx5Tyo3Dsi9d1NZEv1okWv94o1MlekprdI0nWIyHDV7h3yFFgo
Y/zgtz3Z12Ok7oM6GIpZe/0FD6owF6XaM5Im6w7jC9L9GLnluw15d0wHUZ2Xvg7x3pqE3NZl7AFA
Vh0oPIfqcJ51fDO6VB6GChhKiKRptkQT5lCslJXnbiLxi2bkY+9xekNJOtzh7Zd70orwVvU03M/T
5N25lS/nLrXNqaql2fVkbm5DNbhHPqW2MGqr/mu97Cqzlns1KlUV/1cqsv++nXWbhPefd9Y9mB35
b/bWH/PzXv8xAAiURIyHxqUYnfrL3ooBQAxSPQ0xcQ8/sZVTv1daQOixCwESDX7wGFtS9V97K2oy
IO1RAvkbD8P5W9hp8iNT+rOMjkdJA+2IMULMB7UfbQ/Z+LnUarHjsWUuk2u5qHM1j0bezpa6OG+E
GQaoGLVeD0iCKWhSolpeesY9h3kHckurNPzzEqgnyDCu4EoiDjTrw4ixI+1agcTyJC16v8MkHta8
YeASBtLICKNqiELvhQ4J4C3Sch35jJ7/EZjpR6t7v32YwXk+AQE8MrtkMilBG0GAqryaXBH8TC1q
mBFII6k+Y6wHvy9LXsf3vHPJfSSxwaGbLMFSxLqb+wKzETz5HEML3JcT43YHAKCcISwrXr/oUCjo
rK392FLGAdW2/bHmTeOO1JtuIRqdrY4eowo5/jKRL97aPesQpFjPh3ds0wLbg36DQlHnE2YN4LFy
b3xrnicSIkJFP8bL8qJ5HUFJJTcEg1KICDEIo1boihDrL1JngSdKxM2R3twybmku4vYLraKnNrUI
+8DOcqT+iucWPgsdfvNCUCdK4EuJ0vkhCRAMgow9Hi1eH+NahvaL23bm1tZHb2W2GEdk1USXPo+d
T/e9xKwECWEWo4HokWNbl5gsUghbnwIOliESYHkhm6yZ8lq5owiv7VrPnQENPJRUi3wNOMSkkB77
1vk5TVtY/26hJ2d8KG3a++ohGJhqhck0ZVTu2kRhOg17rXh/QelxUQECjnUKYjBY2ROiQQalsdov
JfkasXXfectpKIdrNUEpBzNcDBMGUQiJiT4KR9fckymLawQeNRHvlrOlME5+wpKeM8pQYsYhSF4s
r4fQH7dBRf11jkA2hGt5DxX3Iap6jNrgPibuEAyr6qDpe8uEiF5k1MYVFzzqP+mGIo1ZzecZV3AG
loGwFGJxEYYExN7Y71YZngQQn2WMPvpqvrK5fm5mOEi1p15ExR83UacYPH3wq5icmhjAB4qAR5eU
z4AeH9ZR4xbxkYJwEBozVteu8KfyXpfr0WF0wClYyPs0ElTb4dAeXFRizJXPutxqxEyrSB1SJF0K
aFjruR+Su2arF/oUI40GLYNcmG4GpGtvotb/2nX1udaYq4Rm8TZuBsRnveSCyf/+wWM4eVw15j5u
gCL0m1eMr7A45uY7NoWfDOFejlvdZI0Tcc518F04BC/aoX/U65DPOjmu+GayJNnkfom05tyaD9Su
8khCrM6yGmymuvpb5+h60EnyKbLRE4iK5WT6FonhiZ5S9J4FmpobbgBNx+EIKVGE4d6OzV1dxUVM
2kfRYc4Ux9q2HMOTbIOEuWD3tJLjPu5mdbCDDYpxwmieUcbP1t+GMU3e95KGX7ygewebdhpt4GH0
CmYHlYR+w6iRF9UkLBdCvAg70x1l+sk5TP6pY/G5d+ElwpSyyGQQpVV4TsIlfgiadEjgXXjocPj4
FliwPTRCS0Yw8UhH421MFnRNLaZbmfVtCujnEdmoI/Pkkg0suV+1kYio8LQIJ0DPcRggIcvde+lK
dfKS+YnLGVTk4HUYdNI7WPVtg702+IKZHU+zgMZqoayAUi1tAfW0KZphkLmsvavRAzLaUfDNrA7Q
WhTfNg01hUHa9di2EpODSIimGe4HuCgLGD6078TgTvZVGBy90kbXeolq2AzjUqSE8iKg46OVsTq7
NJl3PvS9tpYLrlONlGjgijpCkNk1fLjFzKSTE+UXIZelEAQxIaS+qgy2YJcPU/MeJzIBJ9+su0iW
+yoM3DGW03jqh3DfYopJwZO426fpKjLsh+sB03i+TGkEgZqASy0PeAw7Rw0OByXqUdg5hbaWzYLt
F4J2Oo5c+RBLiiTs6J8gz980SV3tZ9GkBzWaqrAgP/LSOHfmWn9FTBhRc6h6Z4qxG8DIVr1rl0oe
uZTrh9UKXBvryD7axpsRietaQQVHXWtOkHUxJstP17yLoCx27Fyy9ULqVaD2HaZ92a4PkOOQG0ue
UpLEN6saIe5qDF/Rxt0Pmj9LujociH63R/NcZ5qTCY74/B6PAuh8HKaHJUWYyPkIqKUU49/8jt/P
NarecvWKtq/NYRjWSzCXN2UXFC3GC5gJ4xaCZvQwZsQCpkqmK4ua91SKt06VCCclDKQiuJOiI9G5
D1K3K+PK5NWKNLrn2Rdft699S+67qX5qKwT2t+et7ZrJR64yHL51a/K9Eh7KyyBUxVSHeElQ9YXt
vM8D7KjM6PpaMt3vgfmbwo4TZgWV7UWmAuMqlqZ6GXlX1Lb8HEMQzShuXbhd3xFD+BwFyD/z+ToY
LOVwFu/oPtgORgvi3qJ70X1aYxZajSlahDys3uAVpEOwd4hKBE3aSzehEglxpmIMBjYw3/+2pOqY
6PImRf19AMh3BuHPirHFzJlIfhRuumLWA8LwDubiBB8IF/Q8Kv8Cuu8rGdLvdiFIuQMehXmL4UbN
t5SYPZqn+aBgDKkB/4q06ovXeHCNL6LBVB2NFKxqX5lu3qAm5wOGRIDXTk4IkmyrJq0A6U3nVdl9
B1sK6Q2gNs2gLsuK9VyXdNpTGn4LMLovo1HyVDcVfhgbuBEgpKetBfX6KgfzUB9QuX1BBXaql34/
otLJgjk+r1Evcj3Ud/GI8XXMfvQDvPiw9HApm0trY34IxPweVuxjhdlb+SDGq4e5gVsRA54VMKis
DhHHoC6XBtelrT9MFsHsQWEIFEEkeajZjaMlKwJMIdIEI+CSJvLzNRQH0OhrYWizi32LQVzBkGZK
iGqPCA1UrhUaVTC5J2FGfLQUvQhH3QlctN4RGWzVw3RKAn62rvnO/ajeVza9c35z6NeDgppG08Pk
ZOEvNylpn3lnMFUghEWPHOqhadDoO8xQ64P1LUjtPrbVWxrXN+hhJ5QcHsfFGl/7nm6+kYXDMUCz
uuD2ea7cAo1gTl/8ASMCYvCrChM8jkHVHSlyO2ZuizINhgcZT9uEOFnHdofUsU8+ctP3aOgpEJpz
u+AjBxAbTWr2fWeIewAS9UVi7hApwrJHKnpNbA1zsj33FvjR0sLD9QjkfFYhBITWkSTNUMgWc+Hq
sC9C0eqiNP0nkPHrTqZmBOlU+bBgGuAo8smiOd2rAMmJZvoISCoCRu/jk4L4ZBE78SR8HeRyv9Qw
mHkytDmvZwHkDHdI24ZjFlnjZ6BnFxwnGLDZejjYkGaMcf22a4faXDMHFJTfjJOPEXNDWCxzcjUz
hvjp5AZpNZZJ1bz6zCGNHd4g6Y3qph/ecLYgrYXZBq1MP6i6Ds/ohL8hKi4Pa+PFmTPpMTT6fsQM
KhR54EXQSmSoa2wRl/LrZMUxiDnJEVpa96OKb8IRQEdrdnLGvKhI9PaIffeG2eCQuAiHHbJAR21w
RzcUfzBCkB8BT5UphOkntWKO0tDAM0O1y/z2SzvWmCh61w4tdgCXwbI6RRMSQiw1V6LkCGwcydyo
+YrcGVIqvsutq6995V0j5vadNNeQ3sXz/2LvzJbjNrIt+kVwAIn5sasKNZLFWRxeEBRJJeYxMX79
XaBatlpud4Sfr/1oiRKpqkqcPHvvtXMsJ/WmaTR57PXyEZPAQUXxs3LVQ+WXzSqZ9QCpZnTcu1G2
a+be81SLl7gy9n6rcTLm8jBP7nwgkf/CN/gQxZqzcZkFg0hV8YlT4cXKy/4xn7H4lnVyGpExYd5g
vWCTcDn0cDpqx3hCQHodk/RmGIrXtPIaUiuEYif/ObNLBJvoMccp9N2d9P99VWphY/pfF/p/ZSCx
3l9/3ZZ+/7If29KlfhSvJ5Amns2W+bN2QpCUS75nsaUE9fvJ7f3jRk+y3Tcxeln0IsEZ/eNGzyLV
tkzcYCxhyUyIv7ct/bP/c8mkIuDQ32Et+YxfjHHeKGu/86LuKoH5cvQy37psivHkFVm9trvmi8Nd
Ahpdui9KN5s/orKttZtuAnBZc5PFm5Hd+BH4GJVON0pax5JI5nZhmsJJmTBVpoa2gz1kcYmNtjLt
owPOHX0tK0CfaKuSj3xfF9vcrTKGa1k9M+0yVrEvXrnYJ5J1JZit+1GbjzbnVxSuJ2+Kj12Wbnjo
aHuwot+kX8z4OfXFkA6lMzJSn9Sa7L9UvuedBPvPS88sME7Fd1VnRlXgwZXbVoYXkzjQyGv1iwXf
JCjLPUiswCyjtQKKSV3C8LU01rYSamuP1Rk6yhJOKP1tnzF7aaHizI2KYd8M7dloW3+tivq5GeQF
d7Zg2X2IVlzqljwNM3dTlZCmj9GRV4nHpN61XVDwChMd1xRZSSW/hUPpvExz0ofsBbk1YSjD6xO1
HBNNdxul5p2X6EV3gMCpqZuYcOberqt1UUfOnkViW9w5SvcbZsrQ7VemS8rXNAYoiHZofyNENhyW
PrddV6TpZs6L6ylpz45VHYssOte6OHlK25btcNRyB0UGnbaGK5PAEYur96EQt7Hyn//ZBnIdtfXF
2P3X28C7fxfG/Xp6fP+6n08PSnNY7NFTznTHZu+H8iooMIcJT5bJX8TVn4Dgi5UdSzf+9z9c7v/e
B5JQ/8SAe75l6awFffdvaS2fhs7/2AdaAo83IXlUXIdvBZno532gEfIWThunvB4b3d0WvTXwObdw
RljDPnLhUHKp4jbAOuOKH0I/4fMBVOTgvzpknl4+xXnYXuLJJ+NnmvVd0jnW3sa/ch7SsHqvVJjj
H+rjiyjjUfiZ2l1XvsbtNDe08brlinBVYxF81nRHbY0Q0XlNqjkDRx4W51RW/runRbdY80AkGYZ2
FGwI8Es4+QPWY/uZYExzNwgbY1EbuYe0K0r8L53GBdqeyi9mpysSOa34IIuVPdmw6fbsVbg9V2H7
2iOH8xH3Yj65PojMBCm4i/rqZkiKIOuYu2Qsq00/GFZ/FWmF1b+VnHfWyeCqNo1bVkGsfsDraR/M
3kl0jqysq1eYLYrmyl3OVFcaY3QXJRAxicxibJmVydB49khwOitdWtFoMVsOHka6rK8GDZuOzOKT
o4E9XkEFmb6iStXctgcfKkg4PjtDZr5OgIo4Yken2Epi0cepc6Y7OADzK2Y6O10YTvpJDilMDGn4
u7Dq5VfeSTGz7jy/hm00fzjx+NRo9baQ8VFzy3aTGw7sTrup9pg+JEO80REGR984SUNNF2k5Vhtb
+em4GvOSQTceZLxtcwV4ru5z3K5p/WhBbzpkvvFgpnW0rzSwvZE+9OwvG7V3ktbBG1XlB6Up/6HS
CTEBLNE3uVj47kLZ5X2I2vXR9pn/VXMH7Ujyj60CqAEEY23TqH7c9ZrWjgEe71ptxjCuvrla2R6m
KixucUS1B1ufnRc5Gy4wbzd5GKHOXbiJlVy2KHdwwNwShpU7XbTpXD7P3aidePPKNWhXNrCyCZ9Y
UQwPBQDUgLtPfKfFY3Ud9VmzLnjaZ5vCsnom0dYyyA77kWLBbLcb2YCYXkt2Mmjf4sN3AM1k5tEd
B5NLQ4NhVC8d44NhmgGY7SG0hdZZKaTJfwa5f5tZkJv/x1kMxWj10RSvzXv83xSahRf040T+DBct
Qorv2eYneej3ExkvDDhQDmpCDu7i/ftDobH5FV5gLPEEwoCJMlf+UGjM31jDAgt1qcpDVv+bKCOx
zGs/n8iEG5YYrQsZFLumqf8yz/mjraGYmtFZw25KtBOPhjdP5sFZfBv9p4VD1eiArDg0rB0EfrB5
hEPdJg9TkiaB/2kEKRZPSAFsDkC2s3hFxk/bSPfdQyLHesZRArk6wV9Sf3ebkHrAepJ+2lB4PDV4
UtSnQcVTalg1UCwTaOwuFz6ARsl9zp34wVIyEesM4eAOsCDeMAGJaVtVWUA/QtbupwgnXmZ37pfC
6FmtTIliqMt9QGome7lpbQGRJGvOlLJO2S5cm2lfPZvQCJ41u4KTgRMTt3WfhVcQPqW3yjz4cizd
PEzT4ZzLtRc74dovxaGQer7OzaS7xMKfn12n6G/BIEQBW1RhrWPMxfsOqQI1oPagY0JiB1LmlxCB
m84hsODFtrtOjMy91QyPLfes8nifoZC85YKgQYQu1BbrSa/tRmw7FnBVuLLMLi0PXm+qnd3wgkCp
G7X+WcWNYWBMCPvAApeOSYGzYrEszN8NDNNgzrO/90kJGcFUNXLn6mq+aZs+eTH9or3x3dbdJhlB
HMAEVnSPsfPsm201XJca/5rXhSZ7PZDYRPO1DMuuPhAP7sIrLxbJc5q14n70OyZoZLEU7mihx9le
N7lv00zAmvYAqS8Zj7kbW8OHM3jywzd9d4e7O9xmccQzNPYFSowGOCLXGneDf6F9ikxWoGhpmr92
MAz9M0V+TpHc7/7HyXX50bx9vP95hly+6seJhXCsL+A1jissd5+c4N9nSOM3PH34cmzfNTBZYZX5
4wb6a3PM7yeW8xtZQQ4zjDzWdy7b34hDwlL65cTC+IOD0ELbplnQIbb5nzOkqYkBv3SaXhm6pZoj
MlmlQ4jNLe3RK4lEBvnnoq2rkxqvCpRWkR/mJt+Ph4MewiJiwx8R2UrY2OELZ5RghwcCrjnpI+i/
p1Am48pRRUolgyXW+FGviFMnGzsBTVQJO1vH6MmolFejBorfd8UrmAtWxk16qvT5GsMw4lXYfEFL
2FU2O6jOG7/M+vDuVO5tZZb8AVhT9nK0CbR75d5qfW7CybceYx1NBzlPaoN1eTWo9CGU+TXOGDQw
fVJrdoRXXhneDDmeFofEyV5yiGIM9/a9U2GaS4d96IhnqxpH1spTx9AAD6As6z4gR53sKzPPAr9x
PXSP0AnyOnrqYNeh7iAIyjRM2XXpxhYYZLbqNJOCjcFR0Z7EuNTxGgMTWAGhmzjJtWwfRXoVQHey
d61hZCe9LuQtQZERym/Dyskl/t2O+CVjj1y7NGLjPE3WsR4tcY1pEe2/5V7r1K4iIIKnJyoxa8N+
468WifcYkm/YF8KcwRcQfkIGBsI5pmF7TIymuAEQbZ68qkE8zf2plXwPRR0fLVdzjIOftozkAjm3
n1gofDVq09p0HXBOhv/LqO9WXeglG0XoPiqMBMrlvNXt/MZKfHgnn/wXs0k/srJ7rNv0otR1uUGS
2mUKJqlr25eNrzHhCd5IebyxaWYYo+JYieZZaOlFMsTlqhb5vcnlIUCag05cIyy6Zx4CnVpHClcm
UlcsAtPszeSc21EyXxq2ztUZb1laJc7atPrwkE7Roct5Do4hJKqRrUyQz/JtJiyyCkEyoQDiwi9h
Tq1sv8Ca0Nhv+CCalW1RGzAK1W7MaAw6QwGgmh5AeI6bSRX2BhRCsp6mylyFsAAUGKGNp9vlXpM8
U3VPBmPM70z4cyPDD9wJwzv7XS4Ntp+SJLL6HU/afqOP+tm1Bz1IG4Q+gsHtUdfViWG/XwM5EEGc
QRPUc/HijAYIoam8G9wxXvnT4K/DAnJLzaXBj5lLl/XWqnXdjzyU71lJTQyfrrVKJgXcP7nubNAV
Uy8CQ4cd0bUTkSWeKaui5Kbi8dbXDUtuCp2VyCa0FfYQ7bMiJ07cMj0WrSrv/3l+fD4/lgHwryff
f+Wv72Xz5+fH8lU/Pz+wHXF3/m7Q5Pz+6fkBn9PCD/TrAhMjKG5exk97ISz8R5re+03gR1qG5O+U
vL+1gmBT+uvjgyyxrxNjXph8HlD8/3x8lBWVSwi87ZWemfdgRu4EtsDcam/SETjd0FvRkcNuyA1r
n0xTssnTNNyGPT1UauxCClbgc7oTHC9CWre6BeYqqlChBks5q3Y2bpReE8X2+bMK/ILU21QcSLIR
qyrK7hoXLvtclB4dKuOlVuslHLYEZNzca2tttMMNJ2gCgAOScKMGhLUiv8cja1+6/VxcJEIocPui
ZgMIwlxk7o6nhyQeBqfEicCOzU1xHxVLz43GLVlv2kNdAWP2lIRJRZLLtfIP8r5fyEpqq0zY+9LU
7rQ5BQFTt5fzEouabdpRfI7F2u6mdVMOAeiaxLgwpPneR6+NCRFF7ssSrN2wGMWZ7Zdil5Tbajai
ss1tFVRT8jrMoEAgkL93uN8NhWvD1/mBGg62tvGuuU6guBWBNl90yjiOlvdiJ86h1BOLAwIqlu/a
F41sgDbxNLN6D+oBz7/UaTLcWl1geDoviem2KyVle3AbC/5KmN8KOVg3vha9oavdtIVHACozeeYa
kbEVdSk4ZXoecU7TBVVYKgxa4F3CdDBWje5diDg6TF1srZCBNolX3I4pPTH63BlBbRLZhm8+rWhL
GwOHAFUga9XfSaWDwDKQQzU6x8q42uEIOLape0/R0KuhyWKXT+lKwWlN+gjnuojSFWo9mijwE7Q8
sXZUTT8eP8vc1DvfhD2fhkahX1eWKu68sOYvhjRdpeXVbDVvcYmgLHrtmjf4q1/yuGmg/h2j1Hhq
6v6yIQO60eDGoZGbH+PQffTuNG1bxbBTt15Ih5D9NecjiuYtONnZd28JOdyxDGpPuacf+yR5rmb/
NNcGm9wy2pVYzGqeF5i3vAXpHRqrMg25pbXtWSUzH5/+PpLh1zpyvX1hEoRNtPwOn9ziB+YharIr
q5Xce3Z5ZJ9MZcTkwFVqi4Mj7Ycm0qMjcEUHgPp8x585XNQkNMjFlWWgpMMyZMlA9g1hVsNfXrzR
REh1QmdjhNZjWyaoVnPXsScpimMrupGHB/i2aIpxErfwnOaxLZ+kHi4VQFFzneBZBJtPVILkxNbr
8i84IxKg8TRQQE5ctQI7F3mxIgizpCMCl0LNnZQ4tDHI8jJxok0juoM+e/qh9qKDa4TZDpS9taod
c1pxLALCJzoF7W5Geyv2lqr3CfpcUnKRSRKFSpFpVGXYlloTkRxXkxW5G1+2G2Wx7yQYuQGZdp1I
f1W2/YMxJie76bBaTGffau56lxFmbvMdNnLWb9xMV0VqnPuxe4hBQVHnFV3nVneTyuGLl46XbT4/
Af2hqQFExyovky/E2I/WqO+ntr1X3tK80xU6WyM8A342XqRtHbh6U27zyWtXohkvwwYmUzFhzx6M
wBXVUXRgbqe2+2bZ4Qt7vytSLWfQBtd14tagqtqvYWizyk3npyxCH8WD5QXkOF/a3CXfNWE2UKK6
L9lvjhpOI7ZwDHghwFHWqIm9jy2nMHcsVUQQlaSw7bjc/PMI/3yE2//zCnjfZa/Nx58f4ctX/XiE
s5nyPQOd0RTwaRfA2u+PcCpHsQ4TJgK880uv6HLPgzWB21gHDUOc4o+l1RLZ8I0FtOZalJLC0fk7
V0Dv12f4EtlA5+R7YIHk+fqS8PqJGyHDmtsGjvrzTJkibWjdCxvRiDgiGwe9zwi7Zo+2QS/YVIbg
V7Cp28bQrpuiv87b8oB/SVu1HHfwKusNhvxT1CWXqOkDvoX4DozOe6/36RqKGAgCbcjX4SAuyxnO
c6gTys/b6opmrseB5S9q4xONZBN5XZ/qkQzKga9hOAVeGVBnFfHp4d4h8ZfGVfLF9oqXaiofeuK5
wEZpugod50tDVqkYi0eFFz8sQB86sNLM+LJPowtVxi9t6WFkw+1Hev0tY40T5PxgKxL2zk6I8tgZ
5TMK5cT2x+TAUVNKS+Swh439MImqCYifbS1rVhuRmMRVBsIhqea911Fvb7zMuWhVdj8UM6O9tAM7
9W4xxb3XrX8d29gfRb3g7mSignBAS6j6Jxy8b6Eqn8NaXLVl8QZyy4fC28igA9G6bzEDIaVgdm5X
ViJfMqH6oMq8ajM49KsOVfk2GP4lkTm1wUFFGv7zmmfhv4O336zRoS4UkYfaCi8KysZmSiG2Uzls
9WY4St/fS2HfTnP/LbaSDzdv7s1Y7gh9PeUS45y+CB68SL5OAGcY8GMKnaI1sSQs6J+5xNz7LUt8
Gv00fVfqob7umoTYsC4eLWnfWmqC+R2n95YU38gd94cpXr7c7rot67enHJhri0Ubl6ADlKyDt9mp
hL6j7LkkObgVVXcWkY0vNIVqWS/FkrqlLeVsW91lKGT/v6tVVAIwrfpVV/Gqgc8d1sJ2Np/273r2
ts4SLQnb6hSHsIbnJXLSJOGE52a+dTN7NxT2tquteo0B2eNP4spHPwgqClWGG0opMMEhaHBT4008
tbyGuaiIVzfzXSm5THeFt5Vhv4VYcjd75hHjs7lyBcVGbc1UJ5lZ8eClb6ocnwgSq5XrVF91A1tK
UYbrZli2C3q8J+SnrUst2uuFlmw0Ny3Wul7uHAjBYBO6datr/l5Fw7Qye+8jT+oLb4SeVLVJFQB5
4Nk/oXdjYA1kPj6UtX3EvBaveDfifTfV13apTtMX16C1RHlyLsAnC5/5ZiRoIA/Zp6s+xV+PW7zp
g+bTdc8/Aw58oVw5BE5sm1vn06MPORS/vqUqvPt+A2Jgzf7YvYYPj7t/quPo2qxH+QzyNmgz3kKr
Bcp+riABJ4pKEw/jsW5LNEpf3hG40tbSt8cbhuhjKOvYDEa3N6kQ9bJ5M3pOWx86Vw9JZMXjJ8ee
MtxNOwHnG7KbsnTGGvK+KZ7Sgf6hy6yoOs6ZLDI2+H3edNl1zH/O1LBBAQzig+JPLbumM1G48l4H
xNI+i7CX4YaqD3y1tZ474Utqx5F1qYNrZLD3R4ow/3lcfj4uF3bSX994L17T//KwXL7mx8NyseVY
+vJQgyGHivPTwxLNHXI73dwmCUMMOPzSj30pj1GYXDpF7Pzifzp2vN/Irn+ytiB7Idj/rRJuwHN/
uvByFLF8pfB7SQ4vnoCfH5a+CWSCx6V9lfaZPLHiqcO7kQ7ueu+ION0NFiTzybUW1oxNJ2yWHdgj
DZh5NHufhhCV8knkl8Og+1jeUOG3I/TuFa1NVOpiKfXspWos4QhKuYNofsJddVF2xow26FwCdyc6
4c/eh50gZfawHjcsneac+6o8FeNwSopsq3n90qiQdLeqb7najM5LNlLt1CaRH1AEucsgVMxmtRuE
vK2NotvozjRvQF/36yJv9goamQ/4kjjPTWx6V3PtHYSH+dXTdii2T5r0qlMRlqc68g9NZMUHwx+e
Mpjp6P13ubAfAOAgEnl+RGLSrO6MVj5jWj6YXhUkeviM8/y1Q5FgCVXT06t6mBtRzPfMVM0Y1a+b
BvenW/qn2sTykzbilLbZucZtib1VXta59Qrp6krNxTfFPzR283I9lwNbrbBCGUndNX0fezpPNrQK
4zQU7sqf6bNJsWu6lQk0x53ol9WevCa6mQYrZI+YHDpZcKdz2znwJ24m3pIKMELiVUO5J2/5nE5y
R6qQ8gqzmbdygrIiq+ithW63nirD3hSgSx0tPmbSh3kHcKaoLLEZFMwPEMlfqjCyArP5huKv753U
8QOOO2yNPKyw3n7TRmp78bdd1YsTYY5jCNVufe81HpEkP9undnOTwRPxe546dL+vE1WBPZMs10dd
Ti9TQamYtN5dspjcjWkWgZTxbDXVkVjUy6jPN7Wn3fcN1bsVTnnq7b/BkCeVMqR+wHPknLvTPm1H
H1+50a6TbsCw7eNVMGzJWkZuE9G9sT8mJcqTwO3TN4gr/DqbTVzSVIl/7WHQXZC2Jf+fd6PcKc+A
DwQJw9rx8xMRmoyxWIV23BF4yBtMJcpzGeZyToMNuy5Av3XIF6fLvzisnhS7lgJfquKtr+EXX4Up
hdbE2aL91OtXMx+GG1pC3B0D2HBTWS19d4M4mmZirnF1rMyar2Hg0bAH0NzljnoJBaVfBNHapELA
mPTAMuPxkLuavbLrMj563kjDSm8PlEzxrJ6g7TIE99sB+ztmgysSCyV3UuPS7DBnYe+7mVq4vm2W
nGuHUllhPOIMmO4a6CTPrMPZ8ddcXk0DIkDYYH5TvCEpKUwxEctVb4FXG+ESE7zlMwsCk/eNgNPt
FpRqGQNkSJI2ATB86u+06TIFQpv6hVh10PxWXcZdU8Tt16bTdgbhL8xxzaFwOi6Itnekps8+GpJO
rpLe58Xj3bwIt2YbQzAvwKHHKBATwCoivBExe+8tDESyY2rW32pDPEGQCrd+y+8dmsHbFfPIqZQy
MJU5F9+Wyopdn9KYZYjl9Q0pjZyt8FRT4gLn6BzziWIT1x2RAW4YW4C7afbWkIByoeZgPVJB6WMM
TuaGAK/vrUd80ZwZHa8QMgum/S2ZxWmbFzlds7HFzMb0SYLq5Em00aGiutxOn/GN7zqtvZvTvl9R
wowIMTQBkJXLtmvkdupoFCJzgY+m2jtd+02a4NFs7AEb5HE+sIzQ4tIb8/u8TbILP+qvMeC0q9KK
/SAvbTowEYYIXD9OGHYGqzohdnyMMLRWMKePKh2I6hrjDn/n3T8TwueEoHP//OsJ4V80Lxf/ZUZY
vurHjLDcmun4dRyOBG9x7/5xoV7kVvRB/vsOksXq8WNG8H5bNFNT/0mJ/eECWejokFVcjHy+j+f3
b12ojT+BGFnIC2CiJnRCvk/jV1+ebCjSTEwvu9KM+lnGGDDmLvtqTPYhM+hcTKCPtyxMXbwfeu9u
Z1Ne+FN9Hryc/P6Q14d8KUHqpLZu3E5s6ZXdkj+5G2IkG8+lXKWX04Wuwo2jsRSODfUFVbBaZ0Z2
Edk1NYxas8/S9jV3RrnCNfIOGYWadA3HhbTH0+j177Q9sVfC+rFhbxE4E1WqBs+PQO/4VDQ55UhA
idTa7XwKACfdWauymLZFOV0LSps2GN1OHRcHoonqiVKlcQMt6r3UnSP00WpTc6StZN+m1I1ASo8g
chaufz37xmMfztSRcCUEQakNlPFhEUmcJF7PkvOLeEqI3HswqRacXG7lNbymlRiQfCN5qdziRO6U
/QIRiHJiSMqFuB3idNNLmQdpIS5DQ9yHU6ZwCHfce3wTvmzbg7DkCQEtwtzn5hTTt1c9ejb3LUAI
HCZrmyYveadEUr0ASfsyYaA8Ka+9qkyiixnXDGp2mpdRQsIq0l1ekeOyOlx8JNHKVWeGYhWF3mUk
xRezZjvXxcOVBkY3SNNu3gh7lsGMLreSKJ0MUN2tqUXvdhaWO4BsJDvT9FQ6r2p8hUW3tSrnlctN
uesaumE6hImmogH2i29ExR2wnCr9iOX8PozR7WyyBHdJFrKL/Cx4p97jHPL+pn2v0PejEuWVaEL/
ysLoeQSNwHSB53lwnb1qmDr1zyZ5y5/OZjLDf4qXpnlQlo9DMWzcmB56k0J68FZ0PH6W1DefhfX/
nHPfzzmOpb8+50Bpv0J/em3/vDtczrMfR91ynkHEhq0EoPj7ned3+W9xE9sofL7hoPQtp8wfR53N
To+LkM9t5Lvp5MdRh0tuKa2iBxCYLVu/v9Xd91+uQx73LVaXDpKyALjOnezn61AhPSqDeq+80vVM
7isaoiLJJ62hab1ze+I6nWgvxk6UO1Of2UCP3XWR0IxtEn9s6C1mX9ju2bDbgU8YbS0Hx1wlVlSv
u6XunW2hoFKBCniXfNJGG8b8uiYpFy1F8djpzDVT7Qlm4kVDl7xX+qDyaJevp+oxJB9KNbF3OS8F
9OjWGMgydZQsToC12cd5YQJIy73EHENzN8kARam9P2BxKZoY3bF5FbZVgKaTX/rcrlYDCGOgnYSe
0n6+dAr3EX9qS/LPfPKzEoBAf/JT42Jws3vNzi+VN1Qsd6KHoiEZrhngWMPh5IJZKoqEMUh7FvG4
ljVJWB1Bqm2qi8otnzA4nmn1pDHCxi87Ij/wpqD0GuGgGOnJ08j6xkS1YJxkGfm9kQRXWE+B5xX4
U/qlbjzJr1gqEeCT5r4kvstI3J2HDJFDzoOxs1O1TZwaKQ7XAunzYq2J+doMnTehqvu0m7aw6OhP
kMX1aDnbKcoPscgVRbrttdO5DxFLraCypifWahwZg11t0IZpGC2oLTXjqd0UwqXcjKztWLhbI8qO
o5F9RDMF3p4SD07UGKAMRUgRuX+V9K44Z6G7Hz15V5+t6OCgf+qDd3KmJIFcoG9jt+ekrcH2qTkJ
FPM7GD/vKXLotWIGFwxi8Y7nKmCavHyjLaPcJIrTTdQGbQtA+XSq09S0j2nw4wGTfG0a84Oy2I+h
1OVe1tZ5ARoCZ5BAqHvK16fM+mLaKezWyUPjZfFdFvUxt51DZhuXdhdtMQUjngGQDaZxFGshnWnn
fZ7Dhd2pYOi1m7ga3v05HRqSc+RodJTIubbalYs2aWk1cTHUSt9ZFDCxeDM9l2Cz5e3FInCWzfgK
2vQ+1stN3+aBvmR2eOvyPvIfS5MO72iRSmv4CUHsyxGAQ0cmCHwfpU2IqypjN2ra2a1PvtqBVrH0
FR8K37kI+9bA2YRImy07aNfNusBDVN+ai5jr8EnfaovAq8NIPE1oviHar7mIwKQBbr1FFl5w3GRq
+VkiNcCAJKDdWqiQks6XsuSTkiwSM0EfMqz2RZTrOulOZGgHPTornBeFPt2WN7FlVasG6drz8vBA
0vM8htmwoijk6Ivy3WqXimmE79zKq8BNKQjXRo0eyEUfH+zFFVDbchPN2g75MplBcSCoNxdJcmgR
2eOyntZ1yNugz8PXaVHixVRfhos2XyDSj5W1p2hZI0gVfdFk+pF2fGSoXee9jcTf+gxhi+bPvscE
9JjdA77+5i/GADnyvjMXr0DJQsEa53qlVQiRvayLC02M9qWBy0Cjgv489oBkQT0ngevP4WZcbAld
GFK53mBViIb+sm9SQrmLjSHz47uo4d1sW9I4NBmNzFbIKw5eFkj7NN+UYeWQ6mJpwr5hXlf4Jcy6
YXXD37SKZvYo2mKrIFoUbvtJUbJSK2sf8XotJowUGjOTSn2TW+Ypw6fBqv6ei3gJtKk/hoswiKsV
N1FbNk1yVY1G85T6dsvat6Wlft12yanrMMCtFe0wAoU7LEimxTTQ+6Qq/l82aywSIKsJNS0lGd+d
8DbPx7+eCe4pf+K3//cv+30iEL+hAOHAojFC+EQbf7r8mL+BYPxujF9Ci/8eBywDrBH2Uo5hAI0L
/u0PKdH/jf8PcwsXj+3pTAV/R0rEtf3rdpSktY+EKCBle3wr/E0/jwOAxGG01W1+XRiVBfZKdDSM
4wDRaY82p0H4q3Hse5zgbvVG8uRlXhqtsXbe0WdDXt79OvV04VaUXzd48eqlDVt5rJA6yz3riiuL
ltCZXVYj7dlLj7a9NGqLyiF2WMmztrRt931ESWFYXrWTeteWRm7bH96tpaOb+OS684H2Ay44jUuP
t+knl0uKns+jvSmXru9IOf1GLf3f7tS800SJHaRrvvYEilCOph0RhK/aaGyjQRkslOTehXWH2sdU
sdSM2/XwPHjaQ6YmYGepcWfa6kny8UJ8p6ScacG5kpg2IBD5CiQJZeYGrebuUm/e2qwwPLYlSBNX
JTlrPtbiTjfcBVIR34xCP+a6/QGIYWc2w2trxSdLoE42UHJGT5xQgfjd/j7Xm6fOjA/l2Dkk2OVT
2TpPPlSnoQRWY761vv/WiPaqmeNHuxzfUsvLN4QZ5g0Zs2uNb5b92LDPCUGj12gFhOGOTUoa39E2
eYZ7eZ7NOlzT4SRWk6Aw0q69HE8TESnbIGc56Na1Zg9A/HC6rhjICDqMximJHLlLtM7Z1jKDs9eR
yW7HB6clGAaVAu+vOnolz2jdz6+qyfLXU8riuakKsZvUsPNIW8O36CLOvszbpW7UbBI97wOnD8fA
7nDgGFSPr91J7Bu8GqHn4ofvrh29u9JLyIJ43+tdw0w3gkJE50sPwpbsThUrPmhuOJH0hlPfbtaN
oF6JD1q4Hsr+pLv6OeKlWOxXXxOtuXV6+xoO/UEmLm2qItlZSfmQc9r6y3oznZ0HxZSp5/JLW6oP
thjaOp3xt9qdY1En4Ee4ZOYnMCrVRmL+CN3qUeu6dpO1w4PmK2S6nB7POdPqwOzTu0kTU8ACA7Cd
UX7LWw0WaVldWpN/lVqoyQqy08orKXUc+yEYkQWv3IG7vpY0HiaZWKzD1N+D++pWKRPjqwqrZKO3
Vcj8iKPUTJPHLt24WfxgKtCnnh+7AZ81xpEerY4Q/Q7LZ4FcSr5sNBjczFI/LTx4q9DmDQhyczMD
AGG8ioKpqOeNK/JzvIA8JmJu+LPNZj3KecETv6bjAkIx9TvLPGoT/fMsOjTZ3JZuG5jTmGzopQg8
q/yiO+43JJhkVbnWt2bWnxEkLvQhO1fTdCcc8LH2/7F3JsuRG9uy/ZVjbw5ZoAsAgzfJvmdfbCYw
kkWi73t8/VvBOqVTku65Zho/TUWxKovMDOzw7b680UKUixC/T1bdhl3zmrIIWUTTngDIweqg29Q6
CRreezEUCWtZu9On0dQvdCIeh6K9SUvt3PZsmaO8Xc04e0yvhxKJVwGFVHnau0QsOiRBkGHtJ/IJ
RZPIy6t0dF4j9AD8G5jkCuo8jWJkRTO4ErgCI0dDB88yja0nTl1M2RNmsz6V7y0rrwVqUbTiQD42
Wk3HbsMiPJz7Q+uz9TDq4FaG42sc2QFutgSmSwVtugxoBmssNkzEgqFc8QwOx7vWroCdq7DjCKuh
SjBA57ld86Er+Ei48gwvJl4Xo38pUjNfWp0/Lh26NlkXXRWld+f51s4cJ3cpc7xC3ZSC2wLpFejV
Jmjd9IlMNULJ0J80BDdyN+qDbcePJKzahewHmhC8wVoGRvg25uQh2bZv+iE/cKDfTlbR79ijogoZ
HbJ8bywiRKOehMQWyUF1eZqo0JLMoIvRzpfWMqnSUxP2NxF3LhzrWEMik2G5qPU1pgW+t+/vbBm7
bAW6Nzxq+ELKmprYHMudjCs2yLP2ibTH8yKsoy0ZzRtQq2/S5LNdpVj0rczVlukYgFLz5/wiKKMF
81E9sbj2l8RR2VhMXKZMY2AyY/m3KjizybyLTRwJatva4q3zoseCwXfJ7LOZ2gDYEL9yTIAAKgeT
fULLGmZDApifKX0Se9McSAlZ9GSE3I9oFCQGQJtUOMGH4JmIH9ulLtjGEWk7bFjgJvN2c1XGgqIO
QCwkb0ttHlakAs6TZhZogw7zp2DNpSXywW6nLe0G3+1CedvKj5Hg06Kx4icp2whesMZbr8tPOIQr
fOVAfFXQ13HyndDpEk7LGmHPAK7kiuKJJsJ038zVA+vNapXm5qM2WVfMNt+HKt14fvzAw14c2fEA
xHI9rHvBFU3t99xwdqbWAJ2h7w7OKPn/ifCxjzLoKHx8oTLJQ233K8Nx3gHjaKushpcDVnXGhOLe
6lgy1iyMLIA0Y87sjWUe6c7fi3p6lRpvhjbsjQ0NfPfcJmGm+tohCoJXlgGrINFwRMbltqgKvt8p
r7nl6wsCqcGandV7GRPQ7dro2RL0A8eVvBad/FZYkmVAOu7mwPyMxeBwxsKlNgxaONwxp7yHOxF4
WMRLEF+8/WK9VR01HtZc/Vk2PabBJFrPJb9YuoibVQjJbxVjYl5KLX6Fo3hOooHCEgBDy6rHdaIC
qGRrtsiKVBWYdH90ItnFASCpyIXmJ1ra7isD+A/ey3RNLfp3RJRxUblBvelZNy+LrO9XBVQz6hHU
qSofM5eYbxCQiMsq7Z6d3EPtsYrLI1YkQ0q9L5y/oHPbZdAU1cqwwrtW4rD105YtZwcgUngPVt5d
BynhAbNpVQskVbGV5PNk9u1mDNCBjSTfa0xOKhgolgC532iFvB4Nnuf8tHiExLtK4hsG1voxlD08
IvkphXavmVTzOJmSSrzk02kyKg9S472f6iPNYSxpHfu96Z0tQcB6lQf6wc/NfOXNNIWPMnkMsqxZ
VmNtLN2O5auWYa95I0dxYjCwFq5Fga7exYfSRkgouzi+GFGx96uar7nJc0D2cJEN8b1euxSOd9qt
Q7HowmD1boFfGpm5YEHO5aIti3xdtVQLTzYLpSyp+OegM5D2rq11UVhHtyq4nSLxJg6qOp+7T2k4
aPbELtZBYm5E30F8UcvRWmczm8OpncyzKaN2ndsx1TdJeScjfke0A9E8Go6c03V+Hq0639TSOuhu
+x5nEyJS1D5W49fWVDzM0ADHKb03LC1bDQ1HqiMglVNQ6lJdwarbGVZF2p3Kpt7kYnQXYmpajkOu
lK2MPzxmY7ossUOP+cecwbbyuF4G9bw3jPwpiknqkK0uexhEDVMeZSfMmRXvzBDxawuvmRfZOVuI
i58QdSvO4JFMJzMfXt5llMZPHa3KPl3hYZK/+m7yFrcdNZEIJFGrr/AeYe/PeVKa1W6qHLI8+nq0
1WKjKu7GxtuVlrf3aG3C1X1NG99yinSkCzNch366jur+VNNA0kWsM2y83IcmBvpTBY6R3KT5LJ+m
IpLupdLsnv9gt1RFT65cdnap/ejT+v8dqwPh4n/Vpe9CYLivf72Cqu/6/QrKhRLeq86aC50ZFs4f
rqCCTRo2Hf6iH67V/9xClaWHZ7wEuqMiK7/fQuFiGOS5OdjwwkKyANPzNwyttvlnQ6uNcZY/BaiO
jdZNVeEfb6GG+svLtEqvBQXACCodgG9r+NY7XEDaSruiUaYmXRKdkxS3eD25O0yZrOYB4K/60f0o
uuiMW/beSvJ0meuVu5pMD7t+gB3UNXdu2m1kS8fXqO8Gqn2yjBFw4MMKh/q5scHkcv4vzBHI2Vi9
hg5P77b7cJiOB89ct1oQLya9PJPdeyfNvg0mD9huA5oU0ajbxWW94yw/NnGwBl65mQG4aSreoNv9
SRrFAzWVl8EIqSOrrWjLveQ1rcXGEOKJHkV74/hAeMsqYzjQU4ybtosJRzYHe2z7jcv2rDW0nWfG
lELFd37PbWNkUFn35XiTE/taNG65obdG7MAdiqPpEDec3QHxPWe40jLnyjPT7wQ7yu1kcJRGHISA
y/z7Oi0+05J+XZEPtNQ28ZlOlGIVBQZWh75MVbDHXjoj2Exnctf4VQ+h3earYEgfWnZxB2jfKxKc
N2ENHCx3vQOh82Dh2O0Zw8N9FXZbox1vIkqd1t1MbHJiWUVo4BMWCQMRUiWxwWxhud5zHOu3U8Nz
qwKvyehqZstJmvdzFj1j1IKMqNBwboLXKAJJB2oIOuNnA5xsF8+A0o2om9Zhg8yn++ZN14aPYczr
DyYq4WeCcEuJeNhJVq8ltUZUvXUfRZzstQarC0OhpXTxqdUlIip/jxgblFncV0VOHHbKbseaepnC
hTAym902CJhqqpz++XZifTHEfF9qtt4KQry1xZWNpuoq+zW/94YLHGxzbpbls95FJ5qtT3XkRXst
0AmhMvatLCPH70S505J+PdIRbYmXt7jkoXeCqO7soTODNW6ii4iLZzK9EbQogptdVK9GbsZy4IUO
6lmjp4zwurg2DDbHVELuEt0/1kG3b/LyodP6bdHk57AoNoDvPPIZLJiDpvfWlhygG6ShIAPZP6nJ
oCGRo8XjdojKifJlZI1csi+a+FdNznVRDURxvf7OTVJWIYdqvrT92dcoQBPePhjzK93Or43e36X2
fIV64AET7rcGDXeLDphgV4SsWGdiTDIGlatlEYsFDSUG6Dw/cv7QnO3N0pVGthwsBJFM9J9hQrRq
zExnbZTqo5o0b2MsV0Phfjrx2O0LeCNLv/O8rZ7b+1Cv7NXsW1mNhmwyH3Bh2mraGKztEYmgcMIB
exINqDUb7GAM2wN8zXiT9db3zm4ZQcPkO6L9E9GudwAyXMoaPLmBOVxPHWk1Gjr65dTKds1xhLRP
DZlRH9mwt0fOnorcFF64aKyQvPOs3dt5FsuN2ZXSfuhFoq5UVq1vO2tCTRiokV2MzlhT3NZx8V27
uQYQtOoN091ZtJQhuZsUmF1Q6qbuzhOZ3t4NXq2ZrPO74jjYoKie6tky+qukLXcAlpmx2IisC3Ud
jdTFtBLEsLipNurK2tLpZzFIbmp1nXU1ebTJpK5IM1rKnvReFUWDwY8SrYz7MKVh7jIkLgtvfJYH
U12b4RIy2air9GQXL4DJXsO4NlatyyXQnKtPSix7usULAb6YS7lQ1/O6rYGwcmOfymYFU5EiA+7y
Vl7faH5H6Kp46aPhc9bM5TCq+/iXDFASNm/M8RBOgGaAKmJUeI2S4pYJbSA9Y4drU8kK8DLuhMEe
Hb1Bi6fnNDQ+ZyVENAEMrz77Bo9hBQ/NUGqFZdd4+OrbZOToYZ2OvLka02MaOmeRpKTukDwGpI/w
SwNRakgVMcHzZrxIJ5lXRKeCtUA8MXhiQsK1ZxgU3XkW09GjWY6LaVzunBynWVOIdkuOmbPdYuOm
NBo2m3yWfO0eJiYxw0dDqTkE1RjNNCL2buIN/OVgoDzkH0DeUEFHzGDmwA18UCpRNpYDq9HhVLKY
Y3iGbRjozlU05OcudbLlWPpX1HGxcGh2Qde+Sm+Y1oZSpJQ0BcAjXftKrrLj7sFXAlY35I9FWhxi
LeE1onF1SuziU2fxHpgRwJQUVqOJIUE+cEBvRJmekiyEC86y0kRFq/poq0XIaj36GkToa5KKt55d
vEVKgNNR4iwy0ZaS5vrc8rf+rKsNW70PNHafXC4CwgUe61PUPc+eXNYy+TJ2jQp1NRqWkdVcJWiC
TCKb3GjZ7Oo74EeEvZV8OHUWqzQlKQqdyjEv8Z2tFvBVR0mPkn71XNP0LXckdw8Lyls2YXolcE7S
edYeujyviax5BwdVM80LsZ4KHoJK8IRBHGy1QT+m7OCW4IYg3PFJg85kXEslmWoNOVg8G7AVlKDa
g9FiJlYiq2PuLSu6JlLzTcOEsdFybjUcchxwTO8zBhis9O61UffIt7pJESSKLmusR9OurgDWv88o
viNrPaBFT4USg4NSrlrkYT8rn0QBWpUM3IB8bNINSgULXXZpeDQQmIMshQgOESmZDwECNGAmqJ2t
uMuVNp3j5uOsD5f/2EF+2EHYhfz31Q/NtQiUfx27Bd/1y9gNw0hAz0As+ert+j1HhmvecW3B5EwG
+wtL+XP5Y3q/YfjhS//Z8PyOEsERh0kNCiYFeD+4SH9j7DYcNVb/Cj8Cr8TnwoJrx0twMcH9cewe
Bx9FRiIvJnPpTPtZFhllMiEw7CsaB80sO2s03O5cnyiP1oV3kxVwLkiOs9zoEO99iWyVVsm681pr
1djMoGJQB9mIgNz1xas+zQFXveh1rhpI5iYN4XUjj2kGH7/y4+u4omYvwFhaZg1Cu0vVnzvNYhd5
slnhePNpw016NaoDO67blEqy9thRWMPBEj32usTtnm9lip5XjKu8n7fYY1lJi0xgSS5uZrYKhSz2
7L7tRZQWtJgyzS899hyLqJ5fvbi+kRK/aAe7iOincW2INj131lxs6PfMIYCnTMRN9Wn6wWsXY7DL
NLT26QO/Bv0RpFJ6DTEpzRAJDOuxzANuHRhJoJpQqFybWEqSEq6HWeCxmVkVLfV+PJozQq9Rzx8d
1WcdCwvc+FvdgY1ZslQym3VNA7AR6zytcY8t6978aD36nqneIES+MGbzlE8zPQH0AncBzvDQabFn
R/dul+ZAOcsdkan1WMT3Kc7kts1vylocQ+QiCgWppYT10fMr7TKLKvExqvNtC4Rp48ryoNvZW84p
iQXXP4neO1ESixYN9lse8CnVNzyZS/8F2Ssw1o1ZBPmNNrdTuQVUCO5YJOIJHCfClsRtbuA6H5G6
iDZ0714TbhzDU08yvhzhVccNgWld2dezfty1U3ixct9dYxqaNmTEPgdNQgJ2p2fykPftPN7ovf5i
4o6HbPwcKbu8VMZ5Bwd9ZIyHQVnq0xB/fqRs9lQBkMPFeG8L0sc48WnQ3DnKmt/h0Z+UWR+GKiiB
wL2ingU4aziT5rVXXdiyT0gw+7fK9g+tXY8Liz5Ynj4qGJCpiEBKViBRoQGb9EBNUeWo4gS1ChZo
RfgeAJJfpt00bygOYmIkh2BozXOES75QAQWeCaPqQWBZQnihVTEGCqn2owo2uLV2PZF0qBmupYo+
xGQgbD8M1iRqHEL+RKzJSRgunlEVnJBtcQDiPCxCioc7Fa4IZfLZkLYoSV30jX+SKfHuZIov3LOP
pQpo4OQ55kPqLNg/98uYFEet4hzwwoZtNdKA2aqwh0HqI0/c59kp1llq76mjezZVPGTWkKu0kMgI
DIUHhwzJCLFBkCmpVLikJGUyj9XRV7ETn/yJHP0tQKM7TUomK/dK85qbUMiP0povGfkVMhrdcpZE
WkoVbqFk/Lbvi21C6oXn2LZWMZhEBWL49MiXhoxMqMIy/ldshvxMRo5Gkplc//No+3q0mZCr/vuj
7Q6+36F4rboo/+vzTX3r78831bHkQGMCvaOeInzpd6+jTsBLkgfjWeXgfviDrdvkRRgoR7rgBPCw
JPzH68iV5t9/2N9VlXgq/vnxxtbHs6RUChrbR0upTr/EpGmpwNdEJfHVhNFGLxcGFupwkedujGct
zK8iS57piAwv0iZuMEv7ppoSWiQDcWv61m1SIxMIxrxxDPdx3x9DR9/0ZndKUFi0fj6kOfGvXF/N
hjp+rfENotBJpMz4ZpddIIlt/MBhSQYieNJuZBw+OFP+iKyzBGnx4Vq4LnWcFVMOSbXgCoB4IkNz
j/7zjTz3UrPEDViRSwcYnpzOBScjqrGk092d4d/pS64FDzbyNxMmzJR6ePOi9ux7xDBq8wX+/rZv
20Puy01resfeqi5+GF68YiSOxh4wLC8d6SyzqM71aDw6lr0LdWJkAD40QBsxzuRCg7vZ0ffQzCuk
qmcvaq7DsDsHw7TsC3drDWQ/UnmpDUhY3mdTe4rgNaBMdx0qtvvK/msRSeuRegHUFoQAu7kNg3mr
IWpnJcU/ZX03Nayd/DG6CmyaVZDK9ZhVWZPt5qm5zdz2LTfGi+bmF6o6T73MdjYRFaJIu65i3xjA
JI3Li60b69n3sKFbt46KpbhaucN9nkMGpaivc6gbn6pj5SevZmHdeiXVO4ClWYA5V53WngIjW824
xeuZhjpHu429ke5z/5uluFFogDKP9AWbXKKoSq33RbV0suocuamqSqjGm3Tq/BVK96vTe/W2rLha
l3aHjaJ8NIwyZL8xvgEsVaTsOhDVupm8gWBr49bxjjrUcN9+2bjg6WDpir/gDwA/SFHplB70Y7On
O4e8doWZBqbgbVK0QKhl3S8bFsloP7p5Hu2ZfhoKH1h6R8WCGgpjRSw8vjV0Y5sYcFBtGCRxjmbK
6AmNIgJvQn/KvOTMZd1Wsm5qXcGyyxmsHTsBe9VAuo2sqVpxp6d6iN76zdxxfyxKtI0haB5cHlLr
ROJljFPjJnKRNOb4c+BpBQbAuNcM/x0BljIu62pGGrXq5AJSjA3p0Kuh4iOarbNLVkej3zU+1x1J
ef5f1lpllyxMGVBKVNwYRfZtYC24Knv2Jr4tuRezoKWrx3oLAowOgq0queqqWzWWd2ElgQo5xt89
rRsJbNHJg8WoWiWG+0Eu/yWfjAfblh+8fiAcBf3P02RizS1xZoQZzYMkOnkwJxihevoGyrRWHT1X
fZgd3Gz4Zo3TZ+cIUlLuwSrCaEPFyToKwm/RbKxpWakuE3xQxCTMv0anyXOR+nck4LiqA2ZbG2Fv
4o5iizjo+dNAbeyqqShLKdgFi3GoV04Y5Js4Gfe+lm5j4UVL9mzPc4HGmrbjFUVTb6xu30arJxE4
gpufSQeYOFz4znQXMD1gpDU2bknYsTKNrV8YT23FPpVjalk19j5inbjoZPQ0BSZ/uGa9R37FNZRL
uNe1bxorvsagcnb0xQoT5SO1Z8hdHnAehv6lRQDC7DRDLUihsNTlfThwiRXAotaj5Pc++v6TqTgQ
fuk7vL/MDXUxXEO9gY9olLASLfhYkk9jZWjSfiUMfNM+2b+O7BaoGdbPBGqiaJa8tv5QkuoYM5Ij
E5kUNzP3Q4i5p+1RdcQBpu+8SDXPW0QashGtmackFHdD0B7tPLzXJ0csenTCvI4xalmDuZKjdqK5
C0/plDzUocW1IKOBCnsbPP2QDdkGGwWUfa0AZ9NX2Hg1oEV7i0AjjSksrQWRWqFQ/VNOeDBX+H7c
8uCOphsuMQQM8XnfREUf/XPN/uGwNHls/++zyOJD1UT/D6MI3/nLKKKKFkECG1/N2gwVv4wiEjWS
KzgRCyYRLug/YxcSzgs7sR9Vj6Yqm/g5icjf2JeBIOYwET+4xX/jpk0RxZ9HEQ+SDFd627BMHT1L
ff2XUaTpJpv9p6vh6wBulRb7XmmYeSppDdTbYpM4005rLHMZh9kNqgFp2wj84FBR2zhBbkjjFogn
nUJlDByBgawgYwWpo6rcgftp80YX97ciHl8AfZ8n2qY5FNxTmdHOahUDH0WTx1jNJS2LV0ELsNGI
6auozHepR2SWZbP0TXHjCbY0g+vbALXqRzE6nwQKxk08lGTEyWHrmU4XG/7pTnPmdeZVT1ZXdqtI
L8HE0buDqYUoGVU8eZV0C51ynkG19Fjozoumyw4hYjpSs2rzmbEmaSt/tF7Kr7KfeFDFP+mPFqBC
AQsBmIqSvi5FNvTQ6QvFOiwV9bBX/ENDQEKsJnPdY/2C5wIkUdESPRaAmeIndiL+3gJU9BVZ0VeM
RbO9wFA2GsJXviIwDl7H7ASU0VF0Rh1MY6x4jaMHh3QauXzjyzpKv2kOlcjfKgOVG8QbuvbaBsfJ
rJZZxk2VYEgkj8siaEruRUjaVzn7m5E0wiispxxnXBY5xVU5j8WJ9qNpqTnemnDdlRmU+zwtLo1O
l2MdblLPOYDAe6IymmE1Mad9IeNNl1tiT+KMmCz/7rXZEl/wJe59kbKL5/U8ukEbHfrICdaYwAdQ
8r6GDczMrnxX3Ke4kjaccFAnpXO0WPnjehqq6BuMUCNd16mUco0r6jwb041o2CMJ8B2rGAYlMTZx
F/TTDU4NVl+1eUWSZ6ONxq5q5A2Nu3s/nbdJ3+1CMbOHbQNYWtnV6LHsGY2JSiSe8bSwNQMczdju
9lYWP1IifA8XcDsM7rdMI1no1c1u7IL7Mp9P9RDd1Vn3hC9hp48ul/80LJcSBDSZcJOio8He4K41
NiNMeYlge+RXzrHfxR84hxZ9zWvTJiA+7EftHTGKxTg7W3O2X8CCrP1ccK/t0vMc+LeZXZX7iYHo
ZGrWHWrEW641bAbv607XEYi8myCMV2XTU2g0H2qpfxNePGDOjLdNVBNNiSERmuaZ2oqXrAvQwB25
KVsC8iYmUbzN0VLXiI1W0/Dq+XqxFhkjjpwv8O6uaEFgKhyORaNR4aqSm/abWQq5AtB7Nwfh1aBb
j1U9EA7Vv6WV0NfCQBLJ6S6MEu3iC28bZ/mFzgR3EXr5W8+qa20OlDoFE1n/nn1Gyv/GnhQPaYud
K9sTwT7BmDvyf87rkQXywSlo96QKNTU2uFkmINOsmG5DgmsGfTLBc6z8iSwKEL4Fm5lml0T9c+MN
m8Hr15PLSzDdl9bNz7SnwsEBZmTq3bJtTby85dPkOIw/GSPVYMmTa3S3rl6llI8NmDxr8ynq6v3Q
1HjoerrnXIsmyGCPiHpj5Ew809yfbYzlS/JUWz+v3b2HlTVMnC1b4MfYSE6BaB6cvBSLNBa3bcgO
uMSinFfHRHSPSWbd1RG/i6zs3+EqXZmiPpPFvRrTrNsHE+6xOOp3qcGNwDNueZMcio4NHxLjVeOL
TY85jndV/5QZ1YpRM930jbimOeKoefpRMwVBl0HbW5O1E7WqiSZ7Mg+7gRkMf91p9Nptm843bZ/A
DuKawC6JBjnesi7Jj6xJH3yRv9Ake0UiZt/W1kdDpUxYyD0g+m99E93ZbnNPUDnFckk2xAax17tv
iSj3ekZX6IwzClTQCZbtIYdxzrpsYLObHNlUvYypeeelhHiNKYOyWYllLMXW6qNNXpZXdlYcI8f9
/Ecn+dJJdMaI/z6b7LPyo45e079OJur7fk4mNCBYNFJRH2PbiB4W48fPyURnyhCsKGHFfWU7+a6f
k4n5m2WaFB3AalW9M/KXBgTjN4w8tutQePWjJevveG+oxvnTaOIQ+rCZgUzbkPyBajz6dTRxQk73
kfKQ82iWxMr0hPHjXDpm6X+Kec5tgZlatHgnTK4e866QIKdAgowxSSNpJbe+gZvZJSu5q/XeAXYl
jXc+nc2y8PzXWk/u4Gpn1zDEQ/yY0tgwbXE9s0RzLqT8DEs3XiWZwXs1b5ixuw5BlxMW7RXtgG2f
fZq7JttredpWC53mVS4mEn5VTH/IBVo3uzcKFWkDTo6ejPJVUw7TprZx/7QVD800E+Uy83RlcdC9
i9VPh8SOTm7R+scsSpNNosH14YpPwMA1JKZi6Lib0XPC1dejtjLHZKknXxH5FO+F2+VEMrRnygKu
SjnmByfs7nWJe8LPaB2k3bCEjTVplzqW70POoVIVjr4t7PhzjuMX5p8Gy0uvZ/vBR2EvrXh6oJaH
Sa4OzwGC+r4L4482mI1nHJu0GuNj3vQyrVZOkxINndQ9kAIvBB3N19dyENrBKkdxsvHEb6PQwEVK
wcKpdpwbl8TgXaanXJmme60kmlpYubUVWHYcSbrM82skcvxdKxCTxX6mjGJhiQE/wpRoJz0kj0+k
JrSf+zKgPlqYybH1J73dBpk24X2cIcTUVyG/u96gUfw86VFFWXWgA8lBUxbMWNi6kaFdr+JSCjrd
3vOIVLJAl0ZgjlhT1n3uXUX9hMxWzC6DIRRQkyU2MyIKDaJSr3vJyaD8Wg+y+Y5LL8/Lf06vHwtM
Pur//fQiA9vWr/9aMky//vUEE3zvzxOMTj4uVjpBNJ1qLcPlmPp5grHGpHLP5uNK4P3HMfXzBHM5
20zD8DhbHAHO6xccpkMVl2vbniF/4K7/FuGL29qfTjAb5ZmDkj+TuCu9gby+X08wL3NwzPZ2f4UB
36Dxrq4KceAqYfF0LMgkxzKjrCUgGczl30WRWMU2c+mAMBDmGnvMNr4fkQwSd7zrkRAmHw2tDCno
7JS+MEfzAWX125BNFwcBwo5IHcCCwO4NcGIcWdLgeh6VaDGTh82A5rFY5dLh4Doi8v5pMqEvh69q
OKV/lJFprGulicwuXqM4Juvwxc1swudJKShNak1rr51QVZBXLEkMyFKKi62kl3IW+BFaoP2oMjXy
DA1Qq1bpNXXTrLBMvFFCsoiVomPrzjs4Wi54iD2ywtYmHUIOo8uWKKKbBGFIBha15+WsLgybUGlH
JsqrodQkBN5do/SlSSlNEZIT0M23DAlKqDOIVPpzpNSpzEq2CXKVq3Qr5rt6VfcYvt2g/B4Iy16N
yFwl5x8BY5QvaJEf0jfmC4LJa0Tx8JH1sMNKklMkDCRNtq5+azROvbIKHxCQzWqqYEXIhSE56nbV
P7vQtHCSFXW7KcCfzdRgEbx1ik06YbxP7REnVYixJ/Dwr3RG3pwn4Y48Y/p640KnXvnkNpaY66Fm
NUm41qKCVLiI/HUuGppDRZGSRhnaO4PK8W+QyUOM/CnQsyYVZ7jN4F+GJHkuarzOkePIJ/Le2W1T
69V1SFRo7+r1eKo8nxTyhLPGABPZqaLd+OQPFKGttWI8dfWcGsxxwn8b3UhzIW5p1T43xE1SePo6
DIfyQVAX0W99HkovWuwFnxYuVu7c2EeGlmoLfGQ0mYJCBydJb5yqS2zq6Kg3xhlgFT/1Af5qcKKS
9ZmHsbfUqu5Sq+pFX5UwOoL0R6eKGR1V0WjR1Wi1lDZWGfOio2ocuTz41FovElXxmKuyR6lqH2cr
IWmjqiAdkKub4qsfEmisY34VRlIdWagSyUTVSXqZ6+65qpL1VGWTaPhgdOifHFURZUakbXSppvzn
MP9xmOPZ/u+H+eoj/deFt/zH/3CS842/n+Tmb3zowYzo/y5Y/eUkt34zePPgVflJVPo5i371I8Jh
ZIXGzCkMVe/1b5lMBZVdygQ4yaXJU8D4W+2qf55E2f1BR2Fj5wqPOfkrq/yLSNb6xKjSOTeu82Lc
iSQ6OQEprH5a//KT4RY2BUX+r7zLrgtGnub//h/c4394YPAvgXKnHlk6XEqEOedPDwwNmwJLtmS4
Zg2Q7NtAuNb6a6sUEWYqDBQdbXC0FcLclTd1pyopHxyjxsjXkACifQbjJ4PtsWfMXPEZEktzIsBF
jEXRoOqnoSmZOd0QXwZT9DJs0ruSv3DJFfW6EBFbbAePnltxuaQOXdXhkZLJZvdYZePSiwXAd52N
m0e/HSG1fOPLfmNYdrvqsASuGkoBiVg+aozpntV5wBLNJ+6oxRL6yB30g1stY2Gm2Zc2Ej3Zl0hR
d8E+erjQ/SzgDNEp1nFRkAJCSoba+3d9e2ODbcZv++i59QdtLS9BNj3XigHC9gxTyRRd27V/lE4W
beBy7STTIwzImt9QXT8UMthFLhDNNAyPSLBv+RAmm57hm2MDflNaUGhIKLlYpFAYNno7v+hZpk7v
+MpyOZinlMmxNFeVTF46R3+om+BcjFm3KPTp1qm6LdMEdT+Btmg5b3mh2HpZ/VhLJt47bcLtncGV
XDrei9eC36Aqvat4SjWdhVeVNgUXVxW/v5gUcvfpThi+hbTPWt/hasgzyAh4g3RnuhhsL8cJM9IQ
6tEm0dPrKg3jDYLSds6sMwEu4ru6tfV6frahKn3UJGG5smKv1Ns7+O23RT5PK3NuvkWSBVvQeDXS
Y3rXDN1etxNKtU3xzpaYfdAwfUtx6G5Hc74yRgoAmpA9RT3X3/XU+G4gzSwTIgtF6u1pCNExAA1b
7ic3WeKuRqeQJ8dkXynT/H2Oy6fQ4VqUkdHEeoPRtXKS3dBR8k0E0aBpzM0tr17zFmNFY5HZ18ew
es1jiMib2dUQgGw5EpAUIzoPKXEK6XYW7uQVNOCN7lK5o1f1eEhTGyI+TenCB3phmd/hou4jm8X4
DANlMSVl/y2xTWhhwYBleGGrHGk36tEqiY29iQ9f75NLqwgvbvWKgexWT7QP+lfx1GMKYZ8W3k9G
zzzWtMvRIzg1JPpey+wMDFZ/cgktrDQmLDsCt9w3faSai4dnGRNHHoPyHETCXzbliGmNEL7VnMoY
2FjbkPton2afYNXoxcs+FtdxXZwTyUfWzJNrbCzHVNP2cxqy3g3CcD2PU7aJ++i7HBBS4gEu5Njp
t9AGtiN+2ARr2XKkUymX5RP8QmpK9ti6j0mr7Sbp0CkuXmYbb6aTst6e0pfUuusHKvrYjJdcc1Ig
mjH5M2MDbQV0OsWps7keTOv/sXdey40bWxd+lf8F4EIOtyTAJJGicrhBSTMScg4N4On/rzVn7BnH
8r1PlU/ZHlMgKaB7995rfWuH8nvTahCyk6Uet4aT9vQ8M77P0XwpTQ3PaiWAd7f4FkS9HbTyaq7E
c1sB8U5m86HvVfdYK6nZ3MnyKHLNNtxVOsfAf1pGfzbtyFWU7UJKOyBZIXKUIY0/lt1dhyc4nO35
jBrAWZnb8DDdVsc9jVHltXxEEbAnFmQVXiB/Gvx0a+z/fhlnG/tBvPi/y+Nlom9h6BYij58v34aD
NSr2sJxH57UO9x7Zs970olTF6t9fR0eq4oArxkCj/m504/XsWSQ6LWeNXF1q6Dx/h74tmKH+/XV+
3v2+fR6+T/ZAjR420SU/f54GvJA1aLF6tq2L1oZkh63ZfPz7a3xKXn5TfP7vIj98mN9dZIhVtdNh
3J3HTfdA9kkw7tSvri/DZY4F99jqpg2A9G303f3J9fPVaTwmm4cuCIPr9CBWO4r7S/iuq8ivNvwV
PPz9+9N/npN9e38yV52mFIY1vGc/fwn5sCzoCFXtTBvjFF6rgXrUHqMDgHhAPP68Ojxr22l9ajZi
Z+GkvUBZeY15dAOX8L9567d5q7yB/7qQDPL/86uWlKs/KSR54fdCEqCn64CQo5/JzvlzS0D7BWyN
CplTQh0oNH9ranq/SBkWTUudcSyFJn/0fd7q/sJ6AjTYIreItqH6ryh3pmTn/LA4WAjo+TmsTCi/
eJb4uT/fR00UEuyqjaRcMX8TMuZmJO9GofQFR921Z2WRYThslk+WWfd47nLU/I7ioDBYJg4pY3lY
ohn31sIarZKyA87KAWjrcnzXdG2zmFC9CxnLQ1HUrntzqAAheyMCC+J7UnJ8Bhnow1k7pj3g3Htk
/bCrlBtbGp/Ikz7wLMDMMZx9n0yPoUBPOab1bVvFUE2UxNtpavSlNNkIDfVCKYZTpaLAQeyroXZJ
tc1sMSOsySXKRbKdZVBRRWIRvp/nsNcPvV13FzGZRuoY5ZuoseP1IEAP25P1ZtN62PU9YUjtRKsT
Pdi7XdnvuDJTv5PRSV0zHr3JeCr1ilS/Ia/A/Liv+hhfxzJ4ibf5xSuLq4ypnGuMzlqJ7ap6mNC4
MpTVttjOKjgM9iuTmU1U5ddFCLVrsYp3OrDBJPmZVV5vTYiaTituyMSIdvQRXETAFrxvsSx+mih2
MCgTsd4CQx6UzgRa5yixndBbyY6Q4IRSQj1T6J75KPaG3b8UEvvZSADoQGNmkUhQV50f3DwV7nnq
OAzX/QRvJGdL9C5jpf5YhthiFjymQZcOJhJyxqRAhqZtkcAabJLU29fNHF8bmX6vJTGhSDNacR1/
5oKJ8nlRycvGluQNd4OdRyeE1vVhUYvWC/Dz7Ai/DATTKQ3GGkWGCzMO2B5j0eRBQvhWYTy4K0MB
/GVEDMtqu558q+rZPpXqHKUYRmyCHXVbvXMUGlIiJUps4GCU27BSSr5iGkRhOj3WVvLVMYrLUEkZ
RWNAY+DX07pVhlez6ECtmcYzs94XymuYsZGznT2T7MQ43ekqCD+HOPJpWDaKbpR06N3NXGK1g9ZQ
5tmlHTpHbVA4rQBxKYC3q3IwPA5QNGym4Os6g3A/KukXzVaeLBRe0F1u8ri/nEflDpDQS892ySEB
FsOgXIAIOKlGeD+V6cUsCn5bof4QFQi14za8CyfngsRDcr70yNwYNXVr5nqnUjefQ0fc26qG1odw
DtKtKKmdRH1D7XUj2vQUSZx56BEE54xydnpjzHyWIkyu207bg1ZZ43w+RESwDba4qBXrLZr7B3lc
iUrrNJrWFYyWndEWq1olMyvr5idrwKeXRkqxygjnXbPMwcdtyFT25gol3IS+B4XGU9sVByA0x8zQ
90zBH4YyxsGkhAbaJrGvyYVcc8OqK9DVN7CY3kgg9XDw5wy0bRd7bGoEOVPcgDgZKQ2TcZYewn6T
Tn9aF+keRsZ66gjp0rHMyhWXVYphcmaO52rgBKKjUNoMzOgjFaeghtJd5StgTbo2ZvuYDt4XBC5S
ZW7fkyV7NExsksYwawQR1PS15BLXYsfEu3Wre+Umd2IwjDUjiq6pDky08l2BwVHL+2EVFb0NuWV6
HJboVlPNN6fAbBDp7jEb4xBbrKJsOL/fkJKKqyrKtPWsO2964mSBVuawfO06mA2FwNJEN6Wsf4Ov
66Ptl/A2bRYm2612VyZjuRrwdnypY+VkV+OI9ZI1IkkeRTxetV68Kyz3AymFCHpGTkDE1HVWNDWg
g85SsIV0S/FYRIoTIWiIsOjaoyR3WReW2955MnWrlflby1K9VAvA8NocjVVPSFc4wtRxxu7N7pVm
vQzt2UzyU0ywl0HA10TQlyYTv4yyPeTo/LLIJLK+t64J+DoOnkJrVeaFpQSHuQSIqQotylZmilkC
mChoxjuDuLEkpC9dpQ+pzCHLEEDzbpYnT0aUNfNDYYnrWqRn7ge+hGm4Lwg1WyxamQR65phaSsxd
QEEZL9+WRKFpeMRVotFMdbovAbWFpnW2iU6rPSAsLn8zyVQ1J7c5llkkrTEeA+sj09dKlYQ21lgf
h+8Or+KulUltDtT7iEEaKxEpbhiYIUB+JrvV6X6RWW9KJvblZ/qbzIEr517ftzIbzpMpcZVBXlym
tjiCZIZcNNEmkKlyn8XIf4wHKZD/66psm7+Xf6LFly/6XpHp2i/A3nCOYeYCIvwTZVAHpO5SbnGj
f46gf6zIKJNwi3wvyX5r7WFDM1ydn8X/cSCRtOJ/oYAjDub3FZlpIbhnwqy7eIM/4cc/nhZhCzn6
NLjelY52e5Va2lIzHJH+IUMpYz2wYqKmX1ji2muGK7iNCmk8WnAg2al32ZZetq6L7I34gsOMmXHU
ewh3JgLcVW3kk/RaLYSIGU0wjN41spaPHK/TGr/PqzfoqHPIYO4SP7KIHorqrVsap6lWdkqSv1nt
ZKydtLqMUnGd6bJd1rd+RPqFo8LRTlNG3y1OVK9SeHzmLS3Mk76ofoIEjTaRlW8Gdd7NGlOSUtHe
0oIBKgGO+9Z1nmrTQbcnvtTldMT9lVtByGd79sC59iF0AmqEd3AWfkaxtEqZ+VAeVM0VdLYNHYRy
rY/arumrizHLx7XoMTVnhtJilwPpohoun5YBlt9Vy2PRjUd4GAV1QgcOMDPbQIdmEJs6Qh1ogG0G
NwcXuBOkQnslMYqAFppRjenQ9KmG52IKX5hF3cZldTXNFEJKEVqbogNTX6rlXjDqIKq4Q5BHM8ZX
hTmuKnzb2/pTzwxqbW17Ht2W+bqwsn0HJ3mFR+frXACPVOk9we4KqcVoYBjR/Ip/UOB+0D5gW4CN
GPbMNC5TVpMV/mSp8IN65YlBXMITS5lAKejy7P5yyfL3QinFE7/Pi956WQr7CL1hDe/1nDfpgVDM
W0Hs5LrFhtj59Cya+BLSxLCgds9AidU5GedQWfvMg/aK42Cfd/CJ4MnHSItcOlhYE70jo+r44GQV
SrY4YyTPPUDuiEq0Kdh47zbMQA2s81nCA5sKCsUoA1PY7c2c+DFiVDTG9JT5ZatfOnk+EMxuuzti
ZtWn/5bDz2mHRjfnr5fD3VC8VfnX/o9nVPm6X1dENDSqrUq/rC1DHJkC/Dq2RpNDn8UCgcZg+9O4
9L+xNRMN08aTS24LrR4MdZwsvw87ILurmm4yObBVTpj/Lpjq9ydUE9oqahtXIx8IeuXvu2f9MAtK
b0ucB/UQMaOeb6pu+8OX8ieDjm8Tk5/bPSoWLBNpJ+IeOksIpn9cdFHgGmmadfXZEMwViCO0OjqJ
saGXxjlWCcuVfe8pu14+GU1xHDtPrBCQm4hDn9cx/imdAWa97pCHNPF0mUB8sg1YahIBNUgW1Jyf
Q9hQeaXs587bKTCjepWm6gxFapE0qaTbhTPMyBjOFDJvzbcgTyk1eQuQqPI5e1UgUw11vU8hVXEU
w9uRxFdR3wWunu8dCbTSIFu1EK5qibrKWbG2icRfKfQ0Vz2eephtGaYVBMpwgYxuzcd7imx1r0qO
lqHVB9It3vPOi6nbTc5wxXso2VtuUaPhlDyuBjAX+v/LUJK6CN2hdhMQ3mpHfZvAeRmS66WZ5R2q
XzL69PtWkr/0pEdoCAssnsWXDjjYLClhTVofyxhumNc4BuN4WGJh1aJGBDXgmOQtRwDHioiuQt8Z
17DcIva44UlJDcbKUMrYvwuESP1HKglmbgKE1AFqVgI3cyTlrDYxfOWSfGarZIXUkoY2pUMZJLXO
AWAEzWHWy6OGRNDg17mqwKlZAiRsoRNyWSCL8kCuKZK9pot676F9OOW90NacWA9EgRKarTVAL4G3
Rf0XAA8bD3FDUggMH1PTrb28fAwl9y1s3JIDhHZoJROuBw63AImrE84pAmzc4JhfXMmRc9Pkw5Vk
uciEMdf03h3tiA8TtIMKagbBkFhrYOli1E4+mt91BbBu1Ls3TRLsWrOXuNNynydZ4Ztg7hJX9jIM
OttmBwPPVFRvbYHFowa/HzG2rBWAebERQ+k149to6hu/cqJhXYactMy2DUZ2QMw0Od9DeqtjfuX0
MlJTj48ZhBNa6PZHmnovlpZJ4De9eARgkLrDODuWyOnXUQrpjHXlPpobuAoWws3MuIpyx0FFFQtu
1ullTHPuHtFAahd8H7CCnzM7ZC7D/j2m5bupCXsztup9FuX3HeDV1aQwUR+j/kiu1UevuM8KNqiV
nUGyMMD0+tNnDqKDQ18HqD9n+/qzoy/Mtgl3Nd+Gx2iwubMisayoK7jLvTy7z1TD21vLlJ5tQ9w1
DeropX7HpbJPsjoHw19/1fqmQaSakF3auwy8BP56MKSPptn7uR0CYLEfCPmatnM8p5cFMsBEUW7a
IfVkpZE35H/Ch/RH+P8KqCi/9epq3eWWtVq4fyMi66bKOJqwAajFyFJxgBPxbEra/Akl/lPsWu8Q
l5oVy1pD80XbFHm9HuP5gnL2VZkAv6JuL6zhORpMpN6LcdOWWpDW2k2lYQbSlJt5dsjViR70zH7u
yPCrNPXCE9GZFvt5LuLj0kGCHrI14cpfhxE/AoAvP+v6LChQymcNuqCuhbzkWvCAxpOD2bltSJkC
r+7HiUUorkezLHWVVagoV3PfIuj3siDUu/eOyGy9mR6V7t0auBNH29kYZgqJJcRdTWsoFBSx6TCT
hquOs/PgROO0bRpIiWmEkN9y674+ZSRSFJUJ434hd3osI2QsKevWKqvMmvBSazG2/Vy1azenLnON
4iFruk3biych8oeuUZ7pORnX6mAtZza8ZtPmzWuja/u4Nb5OoXvVLARnE5zrl4VLxzJbNJ+kWRdr
E5LGYikApxXufIyK+BZU51uqE7QjsiG/aJfZodjsGeSUwCzNPn4udX6LIr5Lkir1PUM5DGP3RALv
cusqRrEJ5XAOQAsA3YS9Z+0Bi/EHJbf9bqjBQfUE2tmpMfszBsggasnr5invHkOvG3yzd4odT7Pr
N3nvm/Y47katF1vEzhU4imreilKNqfYAQJAkl/CwJ9ZOoIDaUcuekSTddGYME1PbpqMsUJWQsHis
dout3VFqPyEevI2s1t4zOH+qPMixZrSEp7/fdv84w1CZV2L1sTnrOAh/f9507XyokSQ0w7kiiA2Z
aOre2bxri9NC+k8DnZ+rCDkv4aRna4aGbsNBKCxPXT9IJrqumnpddOLshlhTH5p5Eyv/MJP5p0vI
P//hEvA98lwMuTjXPJgzLfJ4fDHr27//zv70IoRaQ+amj6fLquvHi3TQfyAjC3E22rumupwUstT/
YV74x18LX9UPl5DzxB8+Rz9UEFjNSZxN97ZoNksBdURclc5rOv/DleRw4eeq6+cryXfyw5XyeLQK
m6SNc0OGnlZiNdYPAxGiYzAWpBkv/zA4/OMgVJMAfwuTOxJNcI0/X66P0mlpe01wAnrSerpY9l0U
X8zFf2eNbwMxjar4r88aF+/tn3Re5Gu+nzNIi7c1m2ml7YCw/PQX/nrOULER0pOxEK3ahu1wBPku
jyUS/rP4l65A13Zk/f99FmZ+psWjq0J+hNsGvdW/6Lz8kYJA5AR6J/o4NjNsjgM/3x6OVkeqFi/9
yekcpg90remTx3ruO43pEZzpvgL9F5umhqemwW4xATt27jB7BIrp6XOia0N4FYfV0Ow5atcF21kq
1IAu+uCca0oqcS5FfaqNLLlTqJs9zheLQyt06VCgx+mLAQfwei5BoNRqqGtBxLqL9b6EXOvr5hJv
eoZmkd9YU4tHLFQKmuLaZ8pzEdNvronSXfRp8Y3B7pJuo5dToh2KQizVbbSgVOc0EKaURShZtp4R
0ZhxygizWG/7bSXSrZLNTSCaUCP80tYCMTXLVs3s9gFp56DtMm+2l8DohjnyZ91bpiAfIHBjgQgV
2gZmrXR7tV7s4zB3ceXXemXfJraND5HmfAoZYO62Wh1n/W1m5Ix+wCPlV5Nux/q2cfjnGaDz0yJM
7NU1bXEow1NcOfsGy74afN6Z/3VHTda0v35Eb/vXMukIIO7+2BCQr/z+oOoqLU0kzjyO8mGUj9yv
DyrHfv4IJgc9gc9m568PqvsLAkdLJ5wNcqr92bj8/qA6v8ht1/aQTNqegwby3zyorNU/7RtyaK26
DMFZD5CBqKb6u4VcoYDK2imvrgbApcsx1WsrPZEIJ2/uvsjPDkUbAKrcOll1cx5i94sZxSJo9YKT
KWNa3L2Xjd4+53N1yLvyBjWj3yucII00PKLHP9YTzNrSEdvIIGYK9fNlrIrHhRPJZ2ev4tzFzM2u
rq1o2WgF9XZMrMrA2YcHdUD03qfHHs3TBDAYGdtYam+6gqJqFEyZRTS62h7FQJscKMV7kpc1hUg4
IFJgworaSG0KaNWoQUPVeydxCp4P72Dn7mLeGRy9k1UIBXzwPS8in6iVUUWpDC0aPvOLxm9ZRqQa
OZ/5Rvln1pHT0nzwPikaWemMS9B80jWI/mIamMPcGOyCGAQOrQ7qGmIYZCqJB6ADUkcdVqHvSHhH
KjEexlAdGdA0a73rOT/B+mgWZjcx9I8qHO91aCAKTG5UAjcjBX7J1NmcS3+EHjIJ68ob7XnlwhUh
KQ2WbfJKfs0FeBFlVfXDEQklaACYJG4MnKT1tJtxUPY21JIybE5o5T90pmaFInZ4MQ/QfHcRtBN8
PqcC+gli9zeY4TcegAcdOgr0VT+GlhJq0ZWNLZjAhPo2h6eCrtTPydkVcFbaHnLkJPYp/JXCsaEz
0Qp3uwPjcEJCCjwIqfdRMkw0IbgYkFyAqW7pHTCe744hpBcPhX+LDtWhHq8hwZSQcpaquGIUvPKs
5VR2JgYB/XER1XGEJGNiSeV3CX0UuiqkGSJ9Th3kmcWwNgMkmtRKt7WtvuhWunEh1ZDV+RZVoGvk
rz5yOIS0jPEKbevCuEG7QdoO1JtBj/25SU+tjdkaKk6/KPcWlJwcTbzML/DrrNh3cHRcJAQeXB3P
pB9c5o/gm+8RTWAOVTZhbV2iZNnocHnUdAQ9OxP8Z05vI29i7cHwyWD5hDB92OHXLfPrCNaPkkwX
AvZP1aGCdef2vXX0G+aEN63EBIXRaF07kIMSW4AQCs3jjInhqs3VdF9kOaQhmjfyFDfyfVlTc4Xg
9FJo3FKDZ+7zsVM4qIjarzvv6xxNJ3Wiw1EYl5zFr6eGzWuqaQnkueMbTfPCYJzbz7D9ug63jBfm
jWKEL4hJjsKb4o1bDHfg4QJDMYgWNeme6cw38csBFjMKU4o0ALDWo1IyZdaOoWnemG0Cq8wkKDCd
+I2DUzuntbLtTCAD0DN3bGnKWumcdNNM2rFPh20WErwKu02Faxxwd/Db0hkkekN3JgR8Xpdmd6Eb
BD3GcwfjD3trmF0ajUy6FkFBqEWtM9cWTfGl5ry50RfFl2cXPw0BoSU9nvLc3VfMxNm3kVuWGAdX
4QIuiQypdaXq3lqP8ZHQgLnEuoc4p1fWhV499Y5Jrq2OnFgpltMgUTgZuk2jIX7P1XdhXZIynjDZ
LtPxxi71h96zD4oV7VxlyLGNlOT3JOJoeTQ1R5MVoFA46ng1JDK9CZnxJHWz4RB/WTWaWNH/vMqy
5n60aYzF8XQX2Rb3uwYMRAED5WZXZDbQT2vQ0xlteu+NRbn2ktij+6qIy6Uy8osY3fn6v73/2yiA
M+1f7/0XSRn9ybav8aLv2z5aNXr2FnU4aLE/1OeGhrFB7uJSxfpbeW5TD/A/xwF+b3/W4L+W51Tu
smJ3dKapDhK3fzUYdf6w6Xv4fF0cD/gsbWD6HCx+PCwCLO8RTTvWiWBEo73XWeO5X8q50EhWUuAy
uczzkmPnZgY2KntifinyaxVSsqcaeUG+1tSTTOOoIcGirt1hRa/axZ+dEbXPQFaNEXRdeBBGDjcb
1O+SXVdF9liL4gZlyMskdEKjDeNEWjoBUqVFcx8eNFqX+A1ONjEc5KNIXlRM1iapZf2wpaue8dxl
sy+M7jbWwqfag290Uakpwvc8LqLpISOxcF0kw7IdrTaroZvxU+11NeBZP5rKbO9m9EeJmYQId3IR
EH/M9g91/k0nGTKC2YNDi5wfrS433USzuCrI+kiVXQLgczW15ZvKs7XNUdpgSSruk0j5oh/rcj6C
vfYnw+HryRd6fnl4pzXudQG1w4NCni7XWm/fi7F7tN0oAEDNtO+/B/HzQTQ5vf71gwg0sMdN2g7L
nxThvPL704hOAXEmoyhp1tRdSf/7tQjXSamAS4MV/fNM/MNp2SFvgqKSvGI0wUhLKY2/F+E2ugfV
otMGS9pEqfCvinCC5/9YhCNSsKSfiQYxb+Xn59ELFbwsqL2uOGZWG222kTyThUOGWPmYtIYb6GlL
oqeO8SXPHEzQVr9vLO1jrNSCiXghDkKS7osYD0avDruIgFKL74PotsqAbz+AdAHDnTrpmwiZN2sk
ma/IX5F0r7EMHPRNGGFm78wGcm+1QFAaIeU42XI5Z8Door5it3oMU+OuKJLyypG4l0qCXwaJgFGx
WhwKqDChGWVA+bxrN6MnBKLqnWngsIl0RdyVjbfDznuR1pBWVVKclG66YW+7mqo6J3GgOY2MqyKz
2Vpqh1vCmi4Lp72NOySf7VwdO8tZaMAaADq9eB1G3RcyYYjaiKIxcJa5XRsJgrCkuSWpfBNPQLY8
k/yOtk32Y+68aBoBgwxGTiSwwj5ZIoLm8O4MU7GLq0Tzp2yI/bzNcEAtN2GkzTu0vHw1QzJe5AmI
msKKTl6dHBhlSVQNyXu98jVNczBgTeOsIuKFxSISEMOIG5SRcQjBsYkcHmyG3D2TlEx3nz2asBEw
Ab1xk9YO49evult9MK8PWKUmfhRTxVjrXmMQPOsupEg1nR4CjKGvjBqJE6ADFtSRtLDcTNb23O3c
yrthhFmdm0I7NlM6BWqj1UFiIbFEMa1vF12/MxeGYdno4f2y7lmxvEMzpoAP4dvZTXhSO3KZ3DDb
hEl+QRrhWYSV3+cky4tyU03oczUreaTINbflREkUyiGbl9PQTJzj3MxP0PI2ZkmPVsz1vjDGGypN
2pCLeOfKUzAZ+fvoNNpVCex51WjzOZ1cYxVm8dEblPByNNo3rQ3B6reaDiuO/N+YEJGgcQbPCuYS
hZu6bKzMCoFEjeTPjYpzqKOqu546bCYQA6Le4wvC8W/Z7le3dsVhJF0MiDTjFTC/WJFmyxC+EbbP
HkYkQs3KnckWGDTw+OD+7VrBVHWw+Ipd4smVIl7ujbqCTaBT/6MLvXUb+6LX5ncJ+/W1zLrJoeNe
2MsI4n48SR6F5pGzB6l6gdAWf02X2gOw6HydHEDuZF1hlB69jklRd90zXeVBPIZwL3wEyTXpTS1b
Fwe3JjMD0kOYdUYuOCtsYX41EW1dimjepFr4kdfhOW9nBhdFrwIIHKq1PQAHJoz0otFLNVhUu4Fg
SxaLNvpOWB5Eqnd+EurPKbHIJIX3/WXMDPNoELn2rqphdlepZr0joH2GWJnHTCj+252+lYm0xf96
d7p87br3P+vj8qrvOxN1ouTDYWcwdGTkPyno8LnKf+2COJAtpN92JvQiENQNG8IBihLmqexn33cm
7xfwtzY/kSEQ1aT+r6J6aUL9fmcCloDNE5QpvSEJbP95ZwLEOilUgOJqpu5ygngMUwaijjf70ZzE
AQHtF/2SRUYwA6vNHrRBQxpG+znp9/WSyFhpGzjRN/BoOun9gti+Livk4qVhW18mgCuI4wlplEBq
8EloONvdZGuR9/EtdmTuOoQSfeKYoR+S0O3Ra6iEjc1Vka3Sxo70heZGJlhrl4pZy8r5jDQpdMLM
AlPi41ahC2CzHzLyTz6jUGB1mtZ9rmEi2NA6Irleg/VW2ma/qwmI2E0GkSsfwnCnTZS6ixpEUcrk
BiOHCg9qig5K6OZvCaI638NxSDx4PY+Bkrc28BggB16MRVMt6FJRiFpvAGgR7y8FA1V1JozQagAg
WHP8YQsFD27pfqRlbq76IioCp+bPcNIhhRuHdovhUlzEEcYKVxvjVZQQ8w2ThiZEq1COOqQC6ejK
Wr8AbLJqVcASg0TdaHOi7shh54gLAOBVc3O4t0sVHepWyc/mDCYUVoUHL7Z8z5zF2hq5AcotHs0t
y38SqLS7VllEJrlpDfkZvhXgTDoIsK30VdE0InAVDAaRa7zHnVLtqLe5LUZCKQp28IDwRgevq/IG
0DTa2Us+rDWPTk/cth+OCMNtTTQU2t907HzRIpnOe51UuaroDthrUl9X4vTIeyb/BpL+IRPjOhlS
ImFxpK4sR8zXnhdaW+FVRdBJP0UliiwwWujGYgjHoFxa3qZrPOVlRthOk0oCLtkxoIGjVYU7ctXX
I0RBxrRbLbeba3QVCCgj0V87kFxXy6w1aIJmNA/sL/lmUb0p6Mh1X3VQC4JJcwYZd0JS4lRmOy0n
34JxQLH7b9n8VtT/rdDuW1G/em3fXtvXP6nrf1DbsXqC2DQl4Mpj2ZNhcb/W9eovLJkQYnTwl0zD
WCJ/m4IxuQaHyWHgM0qOUen31RP1ns3IyuV4/OkW+1dTMDkH/20ky/kADA1+VRc8KKo72/jdKduI
NQWFaWGeYiLMu9M0Pf+wm/yZ1E4KDX93BaYHGFENQvYwLjp8yB/P8UPYmX1oTcNpWKwA5PPHXJun
PExvrLb/oJbCPNYmfmFiQ9OUcq873q5t0mBwahriil1tK2FsS6cFA6repQMhPF39VclpK+neJWhc
XGl9JlYLATbaiI/80hj7BuFR0fEoTFi2Iyx3a4tTw7wxqnkBQqNa+ynuQnDMFBgGwzQfTIFDSnSS
f210iTRZcAWbHeirVo2UpzRH5+Zl5pchnopNrzkRtN+4kekUn56rK6d2lCB32yevZZvBB0e9ZpqC
ClJQDutVv9EQHK7mtoSNkLzASb+0dJ2GfjFfMh5odoTs7MqyX/w2bO5CK4fNmBwBxxisyeWLogoM
Sub0AUz0qp/oNHbFsmwG0/Wjur91UpKnYeAZeO0zVdmV9XDoEfKRvzVfT5l7SAmkXUVLC7ghOzSO
8xpqI0FRTrqLiMEYsuS170KsLY5JK87dQce6UhZeXgo/piTrsujgDc6uaKxLs2xIc9DHY26Q+VQY
sDCbnU08Jggt7yFNln6HFvnchlVGLmF8AWrhuW5opcxKejAV867PYYoS1EEPcIEvaZQVHAgCBgc3
2c/IplZWikYqTO0tMjhidyX2wPQCAfyB3wV7RUn4H0SdA7P9tWeOj2ZFNlZsnewOlVO/EIpk3sRF
iFMkLLaOOR5j0e6rWZDAlj7GI3iBwhMUkkAk9fzW1vBF92n+CA/nQQudRzscNlVLpsdigfRsX9hw
2bp7b6sY3XPFhwcfSGbavHzNcieYnXjdhpxhs+kSi4q7GpqoXlG480Nd5OamE64i23nhKSB9OX2O
wpCxUNenG2LSuW2aD5KVdm7PHmbUL0OrPiuKets5SL6yMIVv7q1VK39bsvA6KzhJxnN0yaQ022pR
jaBRce5iwpuAgsfrKCGNUS2KN08D1qGwTxID6VhHVyo1k8Sm1q4pti37NvXMp6HuSGDSQekSpMLT
k4pbVUsvlKF28U6JxrfwpK3IHr6ZXIJhhhnRE2YoMuZtYli8vMZiRZMqEJ19iqAscZazH8jTBEnb
hO5b6wEsjxm6V6uxtgee73YMaXzNCgNuEJPJaWoT+7Jh7OFDI2eEltXkrygZ8HKE6D4GnZYhhqIG
/WJ2q7IPwUe4Nk31YiCpw7aY1M/6qm/aCxybV7VZd/tyQMSqGUhbNb3pdrRS0iBKhksKNUiQWV1u
NYqIcFq8YJl0jQTrvA4qjjlsw0l+5eRqTutC6a4X0hrXYVh/sZb5oQ2NVydrdqxvxzTWirWnKYo/
58plCDpeAuYtHEvWtO7zqritrEHhUXXC/HHIyhsx4o9geHplMoNhZVm3qekbjjb4VV1eOA2pfTjf
+e/FdTkgWK2ZgbFGHSLEizmWjXRM1/XSX+apso2t+Kjm6mMG295AGy28MOekm70Qk2atugSSlhva
F1pPNnZoJs4bJlgCL5cGpIfZiOIu0wqxQXwGOqFK1gTSEWDnLhma5aQ9Lm52MvSaoX93rTVgj3Pk
amBG4NsKy2fJ2+taOASRYbf7fB7vbaW+A05IVA7heH7XDnEAfKtAcwrHQah2BZIBiSoRlx+cXlV/
HrD3cjnGo7VNbDuKgJncOwchWxqTRkaewJaln/ZMwxXA4N2VhZH4lPzeYZjblOlcdCqRmtCbMNz9
kOlkgVbOndVUMOnNlANtoaMHnc0w5BDe3NnhfOeW1iLZFmBWhqrbkI2srRwxbfoZVnmtjuW2mptq
nfPCVTtaw1Ob5O5GwpfIqEkEiTZm3O9MgP8rTgQbwy1afy6qZzmnLQWAe2cOhu7/2TuT5bitbdv+
yovbhwPlBvAibuOhyDqTNSmxg6AoCnVd4+vfSPrKpmgdMk7c7unYcsgkkMiNXaw155jnBEhzl9bz
nRwl/oCdwimr6K7PVGKHans/zdNADiOQ5DLIsEmjEsFOKX+FfKnRiNTrL72oFK8qEUClEQPdjPsK
Ya32RT072gLVmFZWL9noS+TPkD+/FvWoG1JiF2d4HfVDW1PEuQj/RpGl5jnHujApTh1VOQhhW0OM
V2PTrj7eBbzK1P7eZvy8Dk4ng5I5r/37TUBnLiQvRXRts+zYCvWOWenSyvNHpsvGGWebL2DONsNU
rTIr3bRqdCAsHb13sWemOhhBiwkovYqC/lrUsq+RGUu0llOEARG3AiwLr4C+WCchh2zX/joO/2YD
89snRJ/DVDBncZzlhPv2CRl5X8adnRankeTncL6Vk9yNysPHF3k9ov7yfGzcaSCXztkuaCpemyFv
voeWfO05T/vhVIVRCzlH32qcEx05QM/KoRV3lDR8kaqsvCpsxqAtb0dr1J1yrpioAJQvSY7Acemv
+kizb2hIkyY6nCQZIwCYc5ZyugeOUYanmFSmKaBcOaq8NyLHGU5Y63JtKNlT2mU4WkE2L2PtBK0i
/Ah5uZ922rPUqKuzDIlA15p2ik4CY1lr6wQHM87piq1NJLb1or7EOogX89xgkWNnMrPjTFUPofcs
bWRlTI5yhDF8mXrOiQqFvcjGT63E4X3QK/ltPRqsH0p4MPLKWLWi6jYCXNtQssQpFa3MBM9sJasX
UBULb1rQ+Stadgjkpx5eIJ4l5sWvloS+2ByVzZzoXzPihv0ChDbeTWhDnPsXna3HxGvmoX4vvUnK
N02XG2hEpl0vD08ppMRnoEtrKlQ5JtHoSMOYqmhbr2KthXyoTte5ENnJ7hVHEcu0r832z07J8/R/
w5fyN2OOUJFfNs2v9XximTX6bGhfFJsKyS+jLtCksuDv0KYp6pNmt4RZVEN2EhL6YebTx7AlsJgK
nquIybNibNPMqEeeCip3aNAbNWyPHdXNcVGPRml90fQiWrWwvVd9L3NENlR8y1gHiJYbLF8uddiG
LOreCKnUg3bIfoSJSM7LAtJgfRPm8eQqUVuyGsB36YCSFrR+Rb48N6V4sukmuINCQnGTq3dCndk7
IxqjkuyJsq2BGBIr3YziS2IJ8K7qd2FOZx8A0wDRY6KYbgM7OZhEhNWldoN/nhFSOf2s3hgDFvIk
uiHx9zo37bWYuy9WSt2afaPsi7pnL1gPnK85fVvnEgbRj8DCVVYOIT1JjAm3srWviiZ9UaKh9mpy
2v3IhGS9SJMjTSVuiGYto0wAlIk0gLSXaPD0lHgLyxr3JnbEEcUFyzwJYll3qyHos62JE/f8pI3y
c601T4UpfCz/hOkUXjqkFyV+ILMQq7HUvciMMXAXpqva8VVaSel2thas27MvssDLKzY0dFU4l/Ay
DpJ9NdbdDyqsAdViEkVoiXSUhFywvp4KKpM+7kG02jpG+EDrkVIMKm13PO9Q6QwcJCXwU2V8KMvO
CSWwZJHuhFG5UlNpn7OKRyOdfSWDWtuuKM8UNnmcnnJ2UWTBuIIy5xdNXiFKrxMvQz4IHmK/gE4g
opXEBQWuUysz6S5gPhJ0JQb0iMBSNmHR7cOxPhSWwa63y6SLrCLob87MnR5CFXhNVKBlSu07JptJ
xtNSjUep5ZSQCTfRcr9EBQRo81IYvpmO7GNOeKLEvCpJ2zGHh0omDDaXj8LApjIF+iGJRmT0QQAj
U4Wz0dJGwqcaFGvynr2KfcMG6nrrgZvaNAO7ELM8q3+puQxBo3yytH3ypmrvVKRqZM+JXaX9CVwH
9sxjXkzuRO8jGC/S5qhwYvl4qXin1j53+t7ODNq7lVSFlcLpgpmhLF8U8/swIbw5FOEXkok+vhCu
vbcH9z/nICSBugqrxkQn8K7hN7bdQNLEMJ0WBYIJBqbWpUB/a7RhuY1KiTE3DfuqooCKsUQ5WrVl
kFyNF3hJKEeO/F63VaQfyPmupkKD/qD19zBFL0rZvMnYvnHqweul3kA0I6IS13LexY8FTgApyqrr
sE8HvM9Rt8bjsjdwAbOx8GdFHl22eOui08wHW7VvqgV4vmbseq3bxpq6h06zNSr7YkzDfcOybUrp
PlVJakSeRzAfScDKQ141fpwF27FSSFLA59YZ+RNJxYabjeHXmqCLB/Ucvqm2WvjJU/213vLPh3qu
Zb9Z6Om8FHETWNPJmh6j5dts/Yn5/JdLx2e//93CIUvI/0SYzqfYuqkS6CLa3SfD4uNRId6Nv1zk
qZxCkDgZ6mWMaZnHJCNx+vgiv1b0fz4lxCRsSZVzXN6vT2ky2zFqdT4FhBG1e+7GnD3JXTyZn3wb
6q9j/LX8RSYNxnSKX2xNlXcXmpOYntVSEVnpKM8sat5ttgo8yR+c2H1wCudhK9zh8O06dqP7yX/K
/Pkbb3S7+YzZpp7rbO83gG8X/HcbcRtWe2WHTCPdavBkV/anm36dX0Ur28dQ3ayUNc95hQTPQXnp
2yjRfP1UPH/82I3f3cXbV/69QSNoie9seO5fpq3q0+pc2ZemcwH1MfLWD4Z7IHR+bZ+i1bQpbozN
beChJ98w7znLurSd1qN05tkeSaKbYt1eRA5optC7Bzd8As68Nrb2lmT2TXOXr24+vnW0//98gG9v
/d0DlNQ2ziopZlw6MHxW7Uu1qm4VD966R4q4F/vFKt+V68vng99vDZcDe7KD9L4DkuOy+PgwB74H
7v3Hd6X+Wvz8OZD/mkPFu9UBL9jQmIK7irbI/91lk6+DW+gnKWFfDrJfp3FpLKytU71RHymk+R9f
/zx8348qQYft53v0brZhqpHmtpqnk7yUvjmO+0VKT0OPx/fj65xnlY+u827WQWGqDcOSgQEPQS6P
z/K0GcU3MohqGWpTtfr4ar//qv/6VO8Pk1LO5G/USX+KaC3NwXUVXv3vLvDuzKdNFuk/OQeo1Nir
CXVA2/Q+vsInX8yrN+XNMiDllVWYyFZOJW7PPF1V6pcF6NXHF/nsOb2b3Fola5MBTCY8hzMIO3Pt
KXE/vsRnn+PdAOvLpe2JeptP4zC5sTjl6eQu+eXHF/lkdJnvZiURhNJMcY7VAKWcbqNfyLoLTetd
EzlEMqrIZeJPHt1vPxe6VmxL8A5s/d0lLXRyQRV3/UnPfzTJKtUiinzrjz/Wb7+eN9d499Jkod1K
pAJPJyPRqd9f5fknVYXPLvBuSlzSfMKnXg8nmUmbYjQ2nE8e0+v6+NGLf15Q3ozjKKbpE2SMY84G
Tu2Gu2GTHjkiuDvEzn540Tv5/uOndla0fTjXnD/1m0sq1P+UTo1Yo75QGC6YVYkHcWjWPymHZTs4
lws4Y5Zuw89dhDJXknPd+edV/fJrfantOLUT5+zPnbOBrrb+7PZ+u5C/nXLfj5y4GWUl4KVTLs4L
ueS060zfForrpGvdeyicnezM+x/yNw5nzd28hwrwyewFW/zjJ/Tuex+kVkQ1fO5T5w0eitfFUclw
32fetX0SB23de1/VVeAUVGxXOD7W+J0/maE/u4X33jrs6ZKO+a07SfvSIeB+cZLvxkrxzH3/Mm0q
Pz+Ya+zSP4jNdqd1ehF6ycsn4+T3S+/fq8S7cZJijiFrnqHZrKYVrAwnPu/qtql7O2yn7RZtobOc
wAE+AOv38lW1Ni9hvnm9H23Bpz3+Dzb1X27MXw9m/3hV/n7djXdbAUuy6Q0VTCm1r6/FWmTetFpW
y4FoAucZpd8qda1ttaGod5hc88632B0UfrdOVzcxgNds/T+bg/+Y4hTeub9KvN4T6tuXoiOp7fSU
v/z3fx3K9v/8vyJ8yV7afzbuzz/6l+wJ+yoVa53mNdO9fF4DfjbuFesPW8cSR1dfnCGvvIE/G/f6
H/BrqOPiPCYB4MzC+atxr746W1FEYZozAbr+W4LcX1coCpxnjiumVY4vlAcJkvl1Gkwss7XGwk5O
fe4vBsmN0VqvH948mMs/B+dHgQB/XkUDT8nJSCeLy+AZvJ1sa7SWmFRx23VlEmdeackFAcaAuYjF
VFM/0UiqK2dVIZHAKtwedqabLcF+yNTkWq6iqywG5mhE8WGU5d6TFcmAGElUM+17Djkhr5qab/sh
IoTO3lS9cpCX8aqd1WO9lPuJZEVMuTs5SYE9DFCqErkmmOOsDAJyPeMjsr9Da8d6klKcTzoCAIBK
/YipVDuIg9jSA8OGbBvw85MJBZH0ykDsRmlhGz5OJibAlnakTTEC0CeCr7QrYKuo+n1Aw2RtZob2
qOYwDEm2o+ompxEl8b6uMp++UUqdTQHXYKVAzkK7CpItzceObC6NPgTh3dPa7FEc4QmMiFPWKs26
X9RaAOpRs3UjLcJYK+UI2sKtFIQjNcrOvJsDR4bQe0EIgnTk91deS2R1euZ9lFKxtkodNWwfNOi3
cCo3phVvtExPd/1UC+uS67XaozGHJoajuRxKFHDaNbpNY7qMFDS9dTjbe7sR5g4mTPhVFor+QKgf
xudsJkSqK3p9a5UQbOlaGuOCK28IhIuvyb4rS9SwAtuvL1FCJlZwimirUa6rQ0oug2oMlMR70+94
5ociWNqnFu3pNJM5PU+W6th1vJWAs/jsubBR0IC/BvCzS+Q58+1Ssa9D0L204qOYVGw7WpUVkStT
qpO3w7pRxw9WbgwHvroBOXC8+E2H/6JFKIMNeop3Amatb5LwsqYEqbiFHeinlh4SvaG6XQtt2Ix6
AYpmUtsrGhYK4rD8GBfZcWhajoZNfKWXBlk9PedFkW2I0Ei9UJMvCXa8of053AEosX5ARSJXJvXE
OIkfZdx7Rt56aVArt7KEhlx09NTL1LelfJVa9KwmK3ToY3xv244s3+Zlxq2GW+PsEd3ZaEmYQKAf
LWt9IkLHGjzN7jaKoR4WoD9hM3yTjf5Y59IqGxWkYzTJ+vkZaBuSs+dA7hVvFBnxnyZMy9QYvhoi
/pYtQvdFm7a7DvcpeR3LQc0JGAjVoyCSduzTrxVfX9uR7E2LwQ8Ggfbd2vTy8nUKWj/MgQnXcu1o
AUoGpS3kbWKAmlPmyDNM85LPeE2Pl/ZLvIQetazW1Qc5PkY6zi3UIlddRrIQdex9qE4M5k5ZZ/XE
iTdA1mbl897mJZIptKs0sibLOliVdtCn8kFaOjc1zJteDa+KujqY/PeAxCfvh6vIjneZWvlqkMQI
HSdHnVNKd6QBuX1Tlm7YyKdUSh/LVHnE9rgjfHRfZghfeuVqGRUvU0Ey0Xk09MSts3reL6aJjBJ9
HzKC55qGCRpujyjNmIoFVNBl3FnlMtPRKopdZ5Xf8xnhtxQVmTeHwF2NSUvXtV2t6ZJJ18ss1Z9s
oKhQ/rKJe515EWa9AtfI6uPfv8680azk7Syy+FTWqeoPmT375jCnHuEg2aHL0YmbQwBGOsoRPC4v
SlW3V3WdyrfWQoJJOU3XfZMc5CnwUtt8kKduXUfiB0mpIU5J6uhwlMFen5OKFsZ0FsRuGRiti4Zl
QS4wqJ5pdZuhLL815tK7cdLeqyQi+mBnwN7KMKCywh1rAGhbpUqpFFF9V5JmrQLgzdRy3ebm9znL
b6CP7fog3S9ttqt7qH9VeUAYY6+7cS69do436hQZbgs2WOAwWUV6sg55Ol4rt9f63CtuFYmdHNm8
1yAMIJEp+DKb6Q4RiU50b18zFtQLnYRPtxbncPY4PQ7VcoraZJuOxtoAk+TFWb0NCrypvQWHNbeQ
viC5McLqkIUEnpmFehETYpr1+YZ1DSBZVcINn1uCtJqLNMmuYcxQ5SqGzBOFhHiCfNWgaS7pCA5s
bm1i2zE06rNOBOEUP+GY38cDg2ligFrNssIW+T2tZXAIdBp15WuSz16uQQ229c3IPKS15ffSNg9y
LaNXs6XvAZ1Fp1JrR/SQJdMsJ+qjOs9l3SE2xRdVzojHmIlul9KvhF0pbtLOqa9H4QWhvooHNxTR
R5VYGzVP+nvyeMc9BrHmmCFC3X68Sfj1lPk6UAWGIMvEswR66n2CdwLFc2qQFJ8CZD5asmtoLX58
hfN55Zeds0aFVjtXaM8HK+uMGHm7CdEEYZuWHYanTGBcFRdxH2/i6roZsbw2GWWHemUn/sfXREjy
yVXfnR/6Ku0qXZOkozxT61RV2s/8gVXxC8Ls+RwvTPvCMhCMaduhL1J3mAB0ZgXddlmNS7doli+l
ZB7iTpddvCjEWI/KNyvSTS+Xkzsib0ePQv3ezPSvIkinnZJpomc0FaXfL2bhW5WEJLICR2UW87zt
J1P7VhaknujItP04jp8zxiolNhF5zMCz11lCdlHD36BsIn9aSu8IG1O3eQjTcO6+JygrWZRusRut
REsHDb/5RpMjyU9kdijYaIr1vPSyW+cCmc5ooH6Op2s1KkjvjCH4a6FwDBsAWTsg6hlVp61iom7I
dRn122mBjSanO6Mr8UKdkaJxoGVu0hHrJHpjmy7JXkVXVsyB6mmZTD8nSJll5YdBRpMXJzl6x2ld
NPT7g4URLCM8CNFaIIsvk9xyqiWxvCYLjhXCpRCTv1ISI22F0w0wFDZwlXTbdyn6KY3m7WJ2a6mC
Va/05ZMI62Mj51c1jJammzpigXHeDJKD/WZjFmjWKkW5K+ZoMwXT5A1Nf0KXpntJBauWEGKrlnuX
pHSnNvR1WOkHk6zmT4bbZ2P8fKZ/U9UYdbYY+L6lY3IoLsOTtCKB+Z5opS2BUgeMb5H7rI6OsVOO
xeP4SUnlVU3wzxfsrMwRZFKCxPn14kBarCKF9nqsPMMpDqpbrXoMeHvpwVzJvnx3IbmHh8EnSGd4
4h/ZaT7Izi5eBSegFZ9VUH5d+JhAeNs1JMkG0b8co96fk2d5zDEsJ9Epki8hGDux/NAMm48f969z
1j+v8a6JtZClLkVRFrG4voQN4VSflGB++xlM0lrMswUGd8qvDzSfyAwHmM/iLV3WMPkbgz3nnzPU
f47vKkXkf318Pz1VT/88t59/5ue5nejV87mFw7l5xnSfa1M/z+38lUA8zzwIUA0rEwP957nd+sMS
Ohp4U7PZb706mX4K7glsNXAV8X6glWfB+7fsSprMrb1Zzug5msS1qzpiOwC3YHjPg+fNq97Uba4b
vOwX1TlPQFGBqjQ2ZpzKmO+UpF4HZ37NqNReUPXf5D54jAVCJ3nS960RZF6dSqATag8Q7dFYIMoa
HbFEoBUcOYwvRJyt5sC6lLMQCoXSq4Rdyut0so+jZhzKvFxbob3pE/UCirbuWDif3CZEM0usNMqb
sl91mvIiiQIzj11hx9TDoymYViVsMkTz4XRUO8OpJXmNzmIrGyMKG9W6NyvtslWzC8Mm8K9vCkQJ
2pDdp2JGcZuydhr2FRLOm3AEtANk2JuNBO18ViIN7fSXsQyT47L0FWZqrjMbw3qRGhIA+9CVhLLJ
pZTMlElpCCkloq2zY7lz1bBCsoWbV60I3u5R1Xmo8t04AztRZ99C9iNnhIBTDSSf1DC03ZLdJaH2
55hPDpgjjsqiIB2tQ1+GxKbRM2XLsXmvyVm8o1axC3ChsoEjKTtIzcOYctSwR3FTK7FYzVYDgKPA
9hjajX5BywhNaI8YYrFZJlsj22KaQxWiuRrKfkwKwWMbWreJZBnbWNI2+hy84GcDQKtPLtaM3GsN
lKFkyyBM0vVNGSF6JKlbvp0tuyWi19jmRTF5elhdK0q2mXTLdCODOIlwQWNVxm2wFeOAJFmm6kDv
fxUX4EiWKJ5J4MG7ZYTpc6MUpMPVyuCiDlOv7Rodz2KkfmRY8Rq5YORJnYI6ivC61MlAh5AEFxRb
gap5E1poL0boxNsKmOhkkhIyUDxzhGom664kKWhDOGEZ3FijBbtcRN9Dqax8LLv2bgEbhLaw2TZ1
eNvKaPHkTt3oEhFDpGf4bdQb/gA31xqKcl9YzbFt8x/lhNlaX8a9PA1fqnY2sYfF970KviQmwNId
gurL0FoyuejLoS/wYuey7jZWcrV01kCHNeSUYRyLc3RLIN13o4KmiqIG/CjuOtQvTGJkektZGXFS
4JriUGOn7Tox1UMmCKJA7PS4VMHFIKd3sGRq7NXBNlRrYz3MHbg3pY79JkFYHEcFe/70GIWAILIw
8mXbPhaZvemMoXRJzPweB/FdKc10SCT0A4kqf9fi6n4grlAKcXo1gOqehsbwJUX6OkATJcrWOmrg
bFyM9ukV4NpH3GD7FsWPubT72ahQ5ej7MF50py0N/OmlekS9tc7kOvMrU+y1CcNEg2xGUqNrlPtQ
YeL5UTVvU8nXZ2tfxfHKHljNgwjcTcHuKR5M6i9pdmWhQHPVsvlaSd11QrXJLaTlMjICXLxa52kj
yrU48SVJbJYWB0wXJLUrN2TpIh1wssg+mjbBjEjh4hwhqs63Ds5mP5gA4NN8ebQFvOIub1zY77UB
Ly6TktBFbXTox2WLf/2bapwPWIrisUm2nSpObrrM+GY3Ue31Eyq/ojbvQ6krXCUPeIlR3MHN7XwM
KhT07XNQUVvg0/iTX/qfFfecAvavV9zj0/eX35nczj/1c819NbmpkCEUFdMayJg3a678h8FirNNH
1QhGhAX315pr/sFSSOqxzuEOIfpbi7D4gwBDCJD8AMYxnHD/DkFOf1Ul/b3DZc21mA0RVuNDw4Jn
nW/i7ZrLzDa3agcVLLBzCsg5QsXWKJjhmhMRpA9VKjnV1NneEs87M5jzdZGHHJZ7RMvKiy4NtTva
BmeRsXWxZu6n0g6cxU4gmg9YiSXp6nxCcroSirCVZ/fEdkFoim3b1+PqWemJdO4s+nGsZoMyfBVZ
/kNJUpjmnBjjMHoUduZJlOvuOTzLm4J6SZiPgWsGJKhy2yWqXfaSMaFLoaJ+7TPUz3WMjZigScyp
yMVXUxf8IEbzBaakQKEpC98qE8J2m/imTKOrKSwQuI33TEEAvkXI7GhQQ01Z4wwhEUQqIp6ATcZa
a5bfLCN5xoBzyg1ZoNvlI/Yw8fy2Ui6ljJD4jAjaatknZQw4piFEto3VSyNJLuVCgw8RZ2cvConA
Gef5tdCrAWHk+By0CbYSpY9xOVj4VSMDKI6c3A7DfAkQB32o3BFMq2WstLl90+ZMM7ly1RZjs0oy
6FuSveyjzN5F3bSvykh2TVRijt4N21BBgh6WJo5BKyydsjckIGWt5dlkT921aUloBtYcv8fz5mKZ
03ZAQZMVAUPf8VLjtxkiglsLOfTaPLHWGguYX4XaQdTKttatajX3QXA1SwXo87qzV3PI+dXOcvus
sxVuQbrVVSmkddnQ1IxNykb14wwbc92G2tk6HlEODs2Yypu+IvwCYGiAhVsUwaoL68U3zcIkwSt/
7uyIpvWZxZABIPOzguPolAePmTluRdhUxxifgMcvncGDxDjK2A/I0B3iQOn8oSD3SFXra0qtkWeq
w+Qlk8GA7IEoya2ubRrmRBfqwjNGM82pWjKS6dNmTpIWttsHpbmJE5WW8WwdzVwHxDGJF8jfYL9t
5VSMzLdax1Cmijp54cBOswrpBCmSuCki7XEwU7TOVC2d1jKzTddOQNLDkRDioN2CQXuGRlY4Yw6P
KQ0Ly5P7gWFsm5eBzJan1jN9Q4LKVztRv1FfXJvShAJzao9SjtY0lCwo6CM561H9jZw2klVH/FNe
0driSp6XTt8pC10sSmIGNeKpmXNHG1+yOXqYQt55NbUw+iB+d2a2f7PWaZfmmH8leB7RmhWjY2y7
ngP+fD9R4aYWSXQt5iXHGu3UQ1A9u2laElfSj+sxgxwVlwUVwJiImCgUewIjaqe2IKnNRnG7lMFF
I6pDP4HS6MviR9zVN6oWkWNv7QcLt0aX7JclWquUqiMJW1cCja6ccYDrGQ2YvNGv5VIMnsLvPUPm
9pZGn4Xy6xZkv4pUjRu3w0076nvc9D9EZ67aFC1MaeogGfN5x1bjST2XVWrlvFmfuhF+/yB22DNX
1hROQU+Yfdc9FGE9lKspqvSFnIOmvNGQ999TPB7pBag4DIXcDs1Giy3jMUxLY9e1VRZeEjYXWtuu
lvTHIBRqcExIHV7nkO+83g4eFHoBvjGpDI0Aok/AeNnoJXLeMUGENDLufKOizH62O/Z6j2EUYgCN
uU0klrPynSjBEb6KY5fBlbUsF1PRd6iKlsWVyEDIkLfe9QozXA6sklJTpvp9mPwIG/OqEXK5kUbS
9gDybgjRyFwTgg1dFSr4w31tlMuKt3htBUBubUwotbxc2nq871PEv1UlPylnx3BZjBcJHDBlVDK3
64J2U2dSzFgLLuZUVt25IyxEAi+NAWlU0m1RUpptteLJLIfI19S+cRH9HeI0+aZaI7PB9G0y1VVR
E0W3WHgQdZ33MBuQ1kvprTwdOEV4ebqxDHoyy5r65loarIsQoM1qmJMfQovAY3eUsDWY/FnsgyDF
fGJhWciGWgNSMJJBSLR3FDD7NXkergoNI+fMNpXNZux3JZjgWc/X2iArbj7ijFZFfR0n5LRnjXkI
wKaWrQwYaBzp74KiryP1pGN39IxQWqG7J+DCLDjOYW/J65PEoQDwoHhIrOE5GUW0HqdsP4JRdaiC
7gOCNowaWXUVX8xGmaPhFbsqIGSuT6pVjHupaq1H+ufxWpPL0BUSEJs+Vw6FFmPVpq5dzKi6aQaZ
NmdHRdVfBHDS1bgw2WpWt09ySBq5mQr+x2nViGandxYu1ThKnbgxt+S+MD9rClRnPHVSfEPm1VPd
Y2IEoZCSqDSU0n2q8VXLREU1fdkx3QyrXAlfEtveGKR5lhJ/G1TWj25Ivletss/VaP26jfrPfvJc
S/9oP9nEVdn+rorDz73ZUWqyqWLmpLtwDtP+ZUcJzh0W2bmEgwvq7YYSWqCiYJrSYRqcFRZ/iS9A
ElsakENUDDqwA3aA/wY7/DUj6dciDkVESpXseDWUIOor9eBNESfBqqyaixpd5PKiB8eIosjjpMiR
tTWoKYSXJbPQbulr8SgifaTEKBV16oyTRCL5Yrb3dqSXN7YdGwsOmH4sV1phdg+t1uOyxWlk+iKi
PqLH0v2kQg6YQmhLmaqmrjqJS8si8ZAExn6AaJ/NT0jYn8jI1B3K9aK1cj8Q8lo9g0bVmT2Rkgp/
GggTkpodtfLGES0GZ9rLrRvK81Na4yiuxwZQGrYxiuPUhWaaiC789FVWDJQjChO7T49fKCRdfRhJ
VsnFtT7gyYoFiFiNXl+AT8RqsO8NylNd1DeVpj5GVgLZLWjGVVEkGM7UZVlbsZ27KBPo9+kGp0vz
MFjtFxUNbCqK7EBmyr6PUpbiQLU8veVIqjchBOCxsrBCp9dDXd3V+lIdtYbSy3IOfm8s9g8NiUPO
qMM1aLIW7qOGPGEqwuwAzgtyY/UFdPmAIUXG4CQ3L0vbzFDgpsy32n6DUHYt2/lGYQWrTMiuM3Zb
kl4mHKjqiukhdKOEZwArfXTBORubuOBP+jD12KjK+yJKvzNVXVk6uT5V9qyk0a0oOcZ3XaIfAsoG
cSVdQUsln8/AnBnkJVyAXhzCM5CxzCAWCHGrNzm7WMP8LspivyDcqGaLxrlssSoUJpG6Q5nAkpv2
BT6qTh4HvJ3FOotxskGhXtxOGeAPFPeJaOlTCgzKrGY+LsqbAluvK41B5USytdJrczj1540yAlqr
cxp926Uiv0dgMXlN2mOAHyhhadGpIB7mXOtjzz/3d82cfAuGkY5E1PSOocsrUgQfKLd+MQHgqo3y
lOUocafzbcjDtTRbqzpYLrI0Zr+kruzgksFanvShP2R2ernMgtIme7MC3MaqmWI2eGwhYMrP+04w
7BQjOZRqSRGg4cYl60EyOaUQbEUpKZkCV2rOuTwp0O/8QrObPXFfl9SDCKweGtqopg4KuH4kIg8m
tHqXd1noiBIm2yAu5niEoyv6vWTTRB9qlt+gvbUS85uQpmMj+hc1yG/bztzCZTwkQwrAOzJhb2Z2
6xol3wMone+ZMvKKLXCErCnrvaoQF3x4omjH6EvdQORV5PxCDZRLGker2k6/SVLgwsKTHTMiRyfX
8stz+gbLXrQ38654iATNgmzOVPTARbaXsr6CXDLjxiUb3DXz/AkwUep3c3altMGXTCpnFz4XoCka
yba1HLKiO/YKGINe/wos+4li7m4xuOioXiVgk7PA3kZVd9HCzdM1faNVWboivOzY03t1Ct0qVnNa
eLqanvvUCtvZCPRHp+1jpSmuWhKf2t00KGeJRDHguAcCYts1mpXEeuhz6IFhmQM/ISEai2EmY95q
ufuwKMFRT7p6Oc36js6Icop4sVy+c4OgEdShxkD4AvvY6WGpi/CaAMRsn+iJse54BP6YSdlGMaXZ
qZBKaU5IMIPsDKKLNp2kgbCiR4mPuZJBUyewkf+zTL8ijs6Ovn+9TH+FefvPRsv5Z34u0WdiqSzb
pKfaBK3gjn+zRKt/sALTLNFNwjX4499rNNJJIllYtl/XY7o0f6/RFphT+iUWrX7r/7N3ZsuNG+nW
fZXzAujAkEgAt5xJiSI1lqQbRGnCPCfGpz8L5d92lVx2/T7XfdMRHWUJIkgiM7+999r8R/9OaEHV
+YvQQq8qsyU4CpgTsEn+OPRRGARyjIjgQZTPdMNVkAbrO2UylIzNUa0mIy+YehrpyVRZdttgq9sx
KWp37eQbSwMJNOAIojiaWlczi2mt0mxYjk78bk2SCTpTlgvSxy9e25d3xUhRdVKlwxmnAoOXjNCv
x5n6TtA/WuvwilXurbooLE40aWJX7/mcUzrOSs7Yah10vrFqkKEz0EO7NLXabexZW9j8e2t0qYZr
sTGL2FzBnohOaUSxq5AeZCDZ0wfqPuSTGbEu9gVbkTHfKE43Sy0hi0rFNOYWw/U3g668XUXn+ino
MYQD68h2fYlokgYW5st8IjUcOI9FQx043pF0kbfZZVuN28TTnnoytsy32iVzlJhnUnnQW7FOnEBf
m0F3SGrtoivcB+7msShYZ3RFCLmQ4EHyJHy2O/F1kBRJwyL4EmCdrO2cMXUY9NDio1slGhL2qSaJ
dRvOUgbBLpmgImkye7cCKukGam9ljadFTTlN44yaNgpO+Sb0e30B5OOJN5pKLVne0mx1JdLxxZ0w
RvopLJ7SevPH5qw1eXeZ0GQKzId4akXI2Jo8MLX+dGUXvKWKlnk4+ucks15Mq/4y9cmr5kOnKMLw
kKTDSfYcYJwS/5ER6HhCe3MPyYHMKCPpVR94J4gziFKZ2MlGXhZD5q4LYiQL2wifymC6FkJcxJUT
Ejuf8B58syP5xcAUvErckzXqsfWiU7Qx7h3FtA1X5oXm4/VY1gb7qtSuGwra7Het4YndulBjtHHD
gZnFwYvto96lhy5mIOHYqHn4LC/R2Rmtdx1r1SzsBLPEM6L1uLPoA/rUvKltuwPMXpOORRuqzJKN
3ywXRdlIbzUKkj5LSVRucJNneYkwGQrGLDn1s/gEXWJnoUalsyzVRWI/zEIV/jv9Lp/FK465mDTm
vdksbEGQzFam3y+nWfSyUL/G0dxFsxyW2PZdjT5mzkKZg2LG1PhKzBJaLxhnZrOsRl33XoMWeMLj
SaRgFt/KWYYbanHbzcKcr+xLaPXw6WfRTmeyWactMh56HrMl5nhFxLuE1Jdaj43hn7Q+4EDJMEj0
0RaQEPKgl9VbfFRMmzA7ukiIIVKiW5R81fmalKXDRgtmSRmyCDqURCaa467SyDBOOBGtlY+p4CaO
quDAQposWte/6iqtwGAs1+boTZiDaFiwwN5zsByuR6PpMaeWILnYbrP5Nv2dXinBjrQQ2zHwvZUO
72FfVvlFEOrApoLWOjQymA5VbGhbUUBCKaryWmqcjadkZGUNHksts85mDK+Bp1+y1yLhLcOkPGgW
O9chIOgYl0+VEwcfTQ7ULORrfO3E8TuhbQVf0rNU/d/187d+rDma9PfrJ4jA/7lso+Z/Ti8Mm36y
lM4//vtS+g3Fb7IkeiYdefSAf7eUglil9YbWXRIFlqmzyv7uWQC47/Ezf0QN+KnfPQvEEDyHH8Po
4BH//HeI1R/tMrN6wgLP/wiT34f9+JNdpkb4abBMBLR5Ymc2LyKYnd/dmp8kDT4rNJymPZZ9fpGE
d0K98OeytswodK9MiaoGibPPw9bbDKYZ1xsnG46DBYN1hQuu2U5gpNfAp1ANDdx3tyYzJk4IFFcc
ndrxoIDRD3Nsa8bFy+xbXZWUmj4AJGkhkuhsH6d1Q0tXUfY6tKswy9a1JvTtMJdfgQQ11z2R9G0d
QggFIBhvLYkUmXfyHM/lWfPDjZFuQLkJwq25Dijk0BCL5s4tDH/hRxaDp7OMyJ/ipdvoGqi0UZis
TSn/b22UAgN8KDLdulV5yby8rIbqWg38FVFFGgjgGstD+GiVxkU4hMjkQMcXiZfsra7adpxF+lYa
C0dpV23YPdiJdVd5zW0NBD3Iuwdp82xxZUViIBKXFbW4kE4vw5BoQhAke6PGEhEM8oK55sLVMdV1
QbHVI+zZuj+jaccDas5TGcfjkn4VqnGoXIfTFu+8PGScTWhN4lgMS8sBwgByy02N9zAtcEUjdY0F
9kycGcBMBYWXahjsbW750wVjz4vO17YDI06lRcGWpqZ6FVkTzoWSlTg6Qiex1r4122fDcjtN9Z7Z
+k1oV+k2zu18FQBOqRmrs/M39nkz1Os6BLZWq4uQJp+FNurydeySZjnWUEpYRDcDc2pOotGaUzwu
eKwFWefvh7I6EgOg/yVGzk+US9GoywIZxPatLVhXwHG1uyYH+JX7nsmhUKilPqpjJTttic9j3yXD
uC1S/V3I9s2ASb+tU5ldWB7VKIswsaPrMncpRR5ERNQFwA4RU+3gJbGxxanwmmjhfpLalTKce/p3
tmmIGkKDDh2VcN4tEoyZe93lOYZWcxXX/hp/+TKTOFX61Ny6vTJXlcWNt3Nn1+jdF2PCp1BCTUJx
f2ZTeix0GPtRPRzsVD9P/NLOyI+ZC9tXQBYuta9mg71HG/aFmC4tX9t5zgMF94U7HTiHuRs7Dta1
Y99XEznJjh4gBgCtYuQqsgRm5XgOfJqoyf4QXk+8pzQwnyxPethFjUtP5AE7g1MV7iCKhstwaq2F
PVUbju13AL/uBRrAECTDyg6Ds+jgGWNbnaM90YUqkj1pJ/ZjnfFQauGd62b3UJ2Z8PQbZ66BcoZD
5WmHYdAnIhiSNdDbpnSKLkhCraBlUZHXCnUj+vjA65uJIc9Wy9lwtNIIKaEONyZ0+ivcNslu0DLz
qehd57FxC+wPwzj6DAhAHg2+A/duSI21qEnZaJEKV9VvWMJ5CKRGJlMmGKl+xhd2pR1dtWLiYJp+
4xu25cw6ZG7vFItqRiC6MwxxmrGINNs8aMRV1h3ERD8sqSWdIYpKeA0fZphU3YxYBEzHZM60b5Su
w6uaQYxBxyQfQyT76/E2m2GNcU/bMBCfYJNAcpQAHXnnV1WrUUk1wx5dK5VHfwZADhMmdIb2LyIA
iS2rEUwkvEh2VXf6DJBs4jHZBjAl4xkuOc6USVW8oFstY+iTbowB3YdH6UveZfiUYMqoiI5B9qkP
p+5PRMPiTQBwCqktfTLjdhPCuiwgtLff4JcG9eZ+T+xINbm7iJ3xsoGVOY7RMmbCGVfmG3Wgw7aE
qhnn3VNn+Vt7hhlNUfvcKLEp4XBWSY+7zfliwOe02/yLPQM7CbLfDul4mUPyVBUsaa2PvwThuI9g
fXbDcOxgf5JkyXl+yhsFFdRu5BNBg6siFksXamgPPdToi0PkTN2mE7j7BwijvBvrHOLoNKNHPRik
jCCoSJqxpJRA7wHVhOtwRpbGYDTRG7mDM840yJ27qosOykI6bCKdEW94Uc0IVC3Kz9EMRS3i4Is9
Y1Itvd7Z+Ld53Ky0djhaM1A1C51LZNodvukDit2TV3aw8otlSWkS2ZBdkmHzmRGttMt8pQ5vxQxs
16ZTv6ha/6sO1VXgF4xmzCtMnIOA+9rMANhYNASstF1ty2cfQmw3woNT3a2PCd117YkKGWCyWRSe
deiyvg5mlsHOsy6Y25oQaD1ItBVEWogLE01gxa5jVrZzZ2wtTMFVDMeWUuxn6RcX+gy4NWfUbZ7p
BjRY8Lf6DMJlKGytE7d+pKGY3IXunvQZm9vnVTX7mTD+zFBdekdeoxmzW83A3b6UfF44Ca9R0f2F
NYN5afNxVuY3Wm9PQBDp3//4503IbLz80yQyb0F+Y/CxC7GoIJWfcgb0JRgc233tKsaenzwk3ouw
f5N8/jYF/KtLzDut72SDkU+xTFouoVfjQjqntjxRQv7PL+PHscfvL4OYKXtDS9qfkc6m2Y64pqLg
RB8SD8cT/NBhuGMK+s+X+YtjnbvF9IZGAPo8BAHFH19KUMSj5SQdGf8MxD0O/Mbke1jdt+LcdwYa
Q8308De60X8VsxlM9PdHiXP69fW9/uswbv6p308QdHjquslxWEqbtoXZdfyH63nu8GS6gJ8eitfs
X/7jBOExcaPki5ZkD+/W3BH0xwnC/Y/DXh/COAhayeH8Xzmw+P788OX65npmRORyUGayi2r26QzR
jT2+RuH08Ku7hMJ04rPdeINgjobtBafMqOJX/EQ5RgXrDnsG7TqWhpfU6T+0UN8wFxGLyQJpGKDY
Mhx30X8xFxBAfKkDJhJDCjGYHM6N8NIAMafwt31Hu2dGXC8snZfWim5lN30J8ZsuzRSzB+OO5UB+
joqZ8mDNXuzMwcFheflmSs1brrXqlQEToKd1hy8VgUO3jZc+jbcq8e454mBETIK3uHGPbBaueYSe
wqDZFc7cbdiN12ao6xt8cR315t15MJ1i7VpM3hyTPWsGbNgPTPje1dKq2nivi7kDsDR2RuhnG0/N
48RIuet2LK21lfhbmXzDPGYexX3iDsIyWwZv1VrWGkSqvkBwiLDfjPvJYI1TeehCPp8ebO8NsQlk
9zB7ag9Opx6JekaUUTbDQswSeDv69D52uCHsYXzv9GLfGQ6dEzSae3r4EBhkq7EELFM3RaGp8aBF
s4fWOfWRczW7gIOifig0+6VtSTMVyVZLQINzRKjYrJP9uzZHfD+BLW9c7pBPGdNCKxDz0/SqFt6N
jPSXZGDENOiesbB1NiKe099npniKXe/KLB26Lbuc3UBrsCgPzgViwx0+tHwpJ52JI5PKPsdQY/n3
5VBfla12EdRk/Zo0xboXPg+ddlda7eUQDjecEze61B7ZGL6mjM0WNm6DZV0i4UxpQYdVU30443ir
txgMqIE+8jZd9jBKK0iQvvgwSlCs5mxjaqdN6cz1RQKHHZVtMnZxDAfOdorBn9Z58Wzl8slC/6Cz
bvgq2p7Pl8HgNwtyNnuqoMkzfaNZ84tXWxRckpmk5eHQynFXSPXWaZTMmqE14/ZojMKJxKTvDP2O
6WOCs4v9friA7hSvtBBw0Gi5zFy95CFW3KQpZ99r00q1EJl5o2S59spsN+oZrcsN586DH/TBldkW
D0PzRDTS4jv3BH0PDxLemzBIOAsqcV+wX7we+9rb+yQQF4XTDFvRcVDU214s28oAozIXW0Ra+cGE
T3mXpBZUfu2HfjyuVZZU031nF1ghbbLTsFMDPxG3uW/RH6UF1kMkYkpWjfZWh0C78EfBnFcQw+27
VerGMQd+bzuWfUNJkOuuVF+nh6gUzpqTnLEue+up6Ox4PU183dKQjzQONUl+twZZaltLLcpWgesN
t245yHmIexrC6c1E02VC566IQ270voV+z4l8ggvAxs8NVwnZ0NRxrgZB2UkZLSfd/RLZ+SZ06XVS
briRCs4gSfhax704FOc0ajclXbfLSWsuirIhKdGpgwhz4orJcJ8IecvdNUgLk0eP6/NQtfde4u1q
kKzLwO9fGikeisJ6zHRK00wfYFmKZ7CqAPwj4T7Y1ISRKUCzwN5w1fudR80Ss7wkTC/1Hj0d7wKh
VzbZFRvHUpPlwqy0dW0lH+NU3Zex81BW0TGtxQudtWQTM+ckFfXCbaET9A2t+ZSB0Kfwruu+8aIP
8Q3Y5UvevIotMFtMlTj3WYewPqV0wkL9DNcVBxo5aYIiMsaaMWVjheLLNPLVc6Y5d2/um6ADtxJi
IG95CpjGgbHPhd+qy8ROsUd5jiJxKAE5dLgorSijTtlx4xXzkYnDsHrXaGbfFF7FpL/1IoQ//Yoj
OWS+tB13Zo6sGfhftTG7DJPpXhsxRtFD9YpTN74dMZct677flY0gXjHi4HOC6rUv4A5oc5ijyPL7
yEW8KcvXiKggJy49uyNtsNNy896hDHfpl7wbqUMlV5voK9d3eWz0eycrafiR7a6MWR1K9eqZUJib
LOWz1mQt2+eU7Wt9qPEb4y1Kg3yNStNsGl813rOZISj/t1Txt+HqPGT8+x3R8T1/K16j/Cdj1fkH
/9gUmdBYDDDK1KvgQ5gN5n9sigS1LKBb2CTjGQLI8semSHzbSbF99tg9m5b4vlORTRG5RJ09FEb3
f+MgYq75w4aIXKNuW/TCuADYscx7n1PNTqoClwIo7WRo6bJVWDp0Mb37PTAOviJy0Vr6BvDCph6D
LGVIV9Y3Xp1p16bTaVYA0zZ3bgKsrZQ7G6O1ahuj/oKT1RlfbQ1Th2QXwXlsFNu4YkZEl8m0Dea0
RoOxaUvBY01baO9uOVYN667UvE1tmI/MJPXXoEqzZWXCYi9CJwUZodhqBLOvoeC/tZxKLODv18/l
XPZnBqmLKbezD33uHOK4thY9dVV2iKezabVta7Yv2UBTQlfVhIy9nHIok8GINh7HAGZk5thr3Avd
lZsz2Mlq5k8eTLZtPY7hggZinrQJkd0CkIbFN3nt4iLiMVmX6wkGAo/z5hw3OWaOUUE2du3x1jC+
RILSgwbWIY/6cEUQ7xp1A9HJNI7IbAWu3ojdS/naRP1GuvhkhSI/53Z2v3bcAdSA00eH3KHKwbai
YY+3Vl83dsV5n6FQj9tDL7hnQE14W7STqOgEswMPAg1dJCoShwrxCu9hMVxPeEq2FIIn10Onn+gF
CHdeMtdL4IIY6ZmZog0ns5xojZWnySJmtrOrfSTPyWT5Ww+kvFbYqbUa2gVVsQsKZf1b2Orltovj
EvEVW+Y+r7sOp0URHXypucdI9OztlOcT3uKH86PBlODaaMOnNGScEebya1ADIugbJtiG8J4SQwVr
X5UfeKAykmHBJb2B2cKNx1OKFZva6uwjnGxGj4E6MdoblxmFR0tRu2hmbIFZ8uS+7irnQHDHWHbx
eBvGM3Ysy7aCEfvWq/ECDzYbFTH2Jm2UbdnzByizZTdRd70pjp1dagdOlLSs0/N1tu0Gjy2L7Cy1
DiznJi00K1RpdUkzLTN4PminjpK1TV3Z1YUUOEy0grKgmlw6DIt2a4Xpc9rB+KH5k/aZoTn0A8WO
aRcQ+BK+e5WwzdYy783UmksZZ9dF2977mnVsSlaAhamVVyM80b0p0RpoO9xpNufpTNkpHQC+v3bd
d8WcMUphPQjncgwLb021+rYagHvjM+Y10wifX9oohjSKXNhGdJmFuFSj1vaPuYvxPJMlxZthcBuO
Q7CvwnRPc+QuqXiT3BCjUh/BO4ipkMG9/jVoe76BMjrRtNixU8IppKkuIzpYLQ2Z7j1lr926/prV
FIwBQlkW7od0Ih4t2QbL4aZMCGl1TQHtRb8pG6p9ypiQlrjwerRCQ4E0UET+MfLeu6l+wlF2Lzvd
5UPqFZLcDNXgvjt9lJVxY0/t3mndlYV6wgDPWuohA1ctWVJV8DWU1lbW3brBBrGIbffcUITiFuab
x96KY4/1rrzxRmgDLNmqpJlz2miJWJa8x7AqoqVAYAfKsewmnX2dn71ScXaH9M4oPYn3FI2cp2I4
ZQisiJgUpBY7JyvIgnL51Nav4W9f0fa5NMG35H67QjNehJO2xcm2w6uyzEr26s2w0ewZe2JGr9Kl
1UArd1rrsalCZS2LU17q7jrX2ZIrE8hEG5xNla6iLtgNRFezQrvkfLcZ0+hr1ZrMTYdlxVeEUckS
wPiK4zZqdPpep+8FhRUDTKjY1dl/y0XU5482sYVmslaG4BqqRkkxTwRlbhslN3gqcVwPN2Lw7tJ4
oiIqTSlBIsKbCeqOfAwLGV4WJuUbpnAfIxFznnAbUj3LJnRX0h3YZTfh3qIbloKkR91Q+L/cWynL
RzdsbgKOpW32lo/le6XrAJwGxCQr2kQSZK4/rpJArEN9XAZWeE11wrHorBuccB+GphZmjUzUY0PU
9Z3mdTu30TZ6mN7GdnGpbOMe3yWQdRwA0i7nvoqLRm83fBWvGs/dGFZzsHxkpaFaM3mGkZ5TGlox
ocVd+9q3xSO/ihgTtdVjI0pw7mT9nLBfjnn/tcmbZe5qF6kq9pPmQN/CRdHVCZUXLBLM0qsl0SWE
CulsTdV9obbmWVXEiEtnTwINo4nwl4WqdyDq9/qQoSrYHria7rGv9S9FHd8UmoErf8AKh9/G8NaA
+naOsvl0OhR1d9d5kV6UIGY6rb1NI2fnDv7Jt6Y9vTUHTiNH6nld/DLRJkvHc+nPBndKXnr3Oq4J
QhvDUwnvb8QGRBGAe+/X8rqpm1Pe2DftgJXNNZrb1rZXXUmspJ4wldrpZWoHhxT2xKInb1XPD6qp
eBwTdWHW9rYsSVaqHvMw5M1+3vTk2O7z+7ocD4ZZXGimCE+ar/svdGCmt01DyHgyFTtTnQ6Hftmp
hIUnfiO9ch+rDGc8nBwO3upJQOEy6QqP6WdOIuNNZhr9S9VjUod7Bronnrd0L84VVGQ67WlmbKRO
wkHJeArtptx4VnKX1SoldpJsE8s4xwlFTIlXLnKa3DYYtXZ+Ipe9qWXriANJB0LO4TxK0tVcJSlY
njA/E8LZxv5wGPLxrdTKtdbEX1VtE1EjKYNVk8xS56zbFrEq1PIlUSHUvHbJaT1YDV6+6zT3jdqU
DcP4bdA5mwgJOC8Iy2cNqY1gmDZDll9w6LmolX1HFo61RpXLvME8ihFEC3vtkJuCzzo5BPS22ij2
qaaOE/7tpi5f4QhBUCLx6qeIDYLAR6az/H23pf2JKP5pWPxth8jpTTrCmqEcn0kYHHhrBNtcO+kZ
waxkUSQ3GlrLP19kHtN+N/T+fxehA0i36HZj/PTjGJdMoc5ozdBOA61dhJvap6H4CCzk0l9p/D/b
8DJt/ONKnwbGhV+MBsY67WS6V6HAy+lw8J72hXyI2+eokL9Aqvz07vFtAlyIU5U8348vjMpqDDhp
EZw77Vm1F1Xwmqev/3zvfvaK2C2zWeYylvicKvWpMdG9sQzPnYBDvG3HcZ2GBFOCbTQxvVG/5Y//
f8WD+a3CasmhBa+FYCj7SZ+Y833mqKvoHOUAcyy6QWdDwi9e049ej2/Hkh8u8kmhaHxN2dLnIjFW
f1Vfxl74C+HgJ2/MD1eY//07DaRTE/5sgJ1n8owSv1ZS3NEh/ouLfFIn/nKvPr37ZYKNq8ua6Dxo
1gLAmBedxazpOU9MSWVzMtvmF1f82cvC8ambji09G8vNjy8riVxa52MjOjvVNSLWksJ4518qVN9e
FR1UMEzoiiL78unW+balSber4zPVP+tMMiEDL5De//On+me3znKYuTGkxzjrfbpI0YeOE0XIUnX5
lMvLkJNizMPA82/j9kIQdOz963++4vyZ+vQM4hH35xU/vVmgtLy6NEbywwPGyOYL8sYvHgafQNX4
kEkDORRRQ4QRWIw+U8pw1NF3PBjZOb6s92rP4nmkFWttX4c39jJfR5tfQ5B/9oH4/lV9et6RDM8G
oA3xuZOwtghGmB4PhWL3f7l3pJB0Vk5bzv7s779NckK8UQDFzn7lLU2ionhQ//kK893//O6Q6+fT
hkA6o2t+vELZmBHpeS0+I/kvRtdkt/kcCcrQ4vgXr+Vnd+z7K316wHEiLmryFvHZsN9D99r2b6vp
F4+3n1/ClrB/YPfSQv7ji4kYnrtiCpJznp9sHN4DdiWzlb9YVH/2FeLD9sdVPr31Sd3hFMFxdY6S
11SDKchAVmzspF0m6qwl29T+xXv0l5dF9bnjgIuZ7X6GEDPM7rtnqun5Tpk5RXpW3baqn3u5rqab
f/4Y/OVL+ukSzNK+v0TeBdzQsErP/ZTjPQ5WIxPf/8slZhYEeGP8gJ9eRTwMuKg4aZ2b9FWboNn8
Cuv/l48yr4FooM33hMEbiLEfXwOPTqc3cgoK2OdlLUCHeD9PznPv/dsL+a9OPYM9/n4q+9S+fP2r
Sj3/zB8DWQOV2pufwHPv5GxL/XMga/xH8o0ErAwNxJUOj5nffa4e/4LZgA84NBDJR+N7lRprKicy
/onz8jyr/TexTn3+hP35rPumUrPXliREcdayVf30eEhVzbioGPSTiotH38ttVFdLuzDpxUUDNcpr
mwTDrs2FdzVnoTZFMUfxGnGoC3AifT5UCwzX9mU9H+IwgRML7+W26zk1ukN5rCdtWXY60pL7anQI
C2bW7ywIO6sJdcFDZYicUl+VeCTbBlU29wA2OL2479EmBJihO2DLLQSL8lVSzla05X1tcFoWsLgg
GlWv6Sx2FLPsQZJ7N8xCSDAVYX5N2JoDrxBnzZIXvuy9tep1nyi4Rt0RvlD8ntV59NVXpw1e/YzU
OjESfR2MZbV3cw9BqtBuFBLw2aOze5HJ0FtQrkhT8+g4Kz+SArTRRCehP55RrDBoetZbE8lrTJxX
roK0W4bJY2Rad6rwypUWm+9lYg9rfwru644FGKN7K7VwQf5lx1L2RvQgn2eeO0Ka17kez62hT1ke
XMSTdwfK2sFZyFy7NvW70onR0XkTFNG2ZeqTTTeV/XUEnbpsnObRBXq8gFVpLCpbrnqhn91UGITl
o+uIuOpCyyjTPIwjBjAGzh96TbhF5ldESC66sQj2VtzctHMyb7B1SgPqrCHezwlUplTLlenKmQCP
V5rWUiDlmdgQPJU2pPmLmhNu3rgnzyzHbZozL+4kVty88qisqN/NClqXNznBtYbIhOvNRk/qkqtq
ND/Swh6BG0j4aGFseldpCA0tz6nb9BPsnsomMJunSLlgGU4hAcmlnrqnXitgV0gChsFY0BYOnasx
ikNbm1cljcM4TCc29ZEAWwGXgoAlJX8Dh5fOaJ9lGT4kCUtUzSCsmqmfxJu5bwE3N83noXkzPTgM
rQ2/eMkCf9saljiIXLs23PJDhFThwu9sq8Fd5omsl7qqrb1EXS5ldhgYTorAOo1GchJWO+CH9mZ7
cfxF7/17G8b6Dk8Fk2bNua9VQJ+xYUIlMInZuC2Wy4pkbKvrN9moDjp5jSqJb6IoWMs2faIa/MX2
6gK7rUHpX4OUQIh1Vcue7I6eH20I7QtbaIcutWhe0Bn7th4k5TyYgbvGq2syjGvU+KWE3LDoDIqj
GM8tCjVRJ0x1b+JPYFVz/apP+5eQe72WVgkTSxJYLUyCxXl59HBrSLfYxKHVkBn2X4nnbpwa/6OW
QkkeHAIqCdvnYWQKO3p4P/LRfpvpZD1CC0Ti+LLya3MZlVmyTExzG4fNsxtXFxjS7o1kejDopebv
QxcQ9sLrvWM9AKPmD14FU9dTmppQwDczNSb9pvGs51F55SkQIXjcQRsOWjJq+yLr61XeRZddUt3S
h/celsmNK3PIF5lARxLWDGpx+C3gx+0dM/41dfTtKra0dJ9lJEh1E3s5B2HqWJsJFwdzH2qSYKq4
accI1jlBQ4Mv1OMIR8OgZzUYrmOTkZNv668uxpTftj3/XWcFu6u/X2eJllBqsUy//gzLNf/od8st
eRJ4CEiMxjcP15/LrfkfE78Ymy1bAMn8HoXpzHYx6FtQFFgLkeL/XG4lsRJCKJ4kh/Lb+v0vllsM
Zp+XW1cnl6mzbts2V5v/iO/3lI4RGGla2wUjIerBEfNMTLlMUYYhR7wcAoO22GSTWozys9xkCc7D
p8xzDjjGmX8rjPjFldNW+5jGhEnz17rIGDHHTnHJkLY4EYd7GHXx6Hosqm4zjvCy4SSNyZ2sfQCY
CsZ2ErBoFbEDIsuaAoavs6qWQhAlVWITFDEG/QqGYrfyJtFtQz7WUOrdfJHrKgSwSZd8XINYCMaV
4QbryS+Youo2ewTZQ6yihGDAvwWJhTwITgBKWAdFWK7T7yGprxx8Mr1JVanyBDWvOvE9u7ZfJa+T
7yS/t/Lmp1WXYi0a2A37efzqRZ67Hn0e323G8xnC0R4Kgr9Py5imhmxYFzlwTh0V7cK2tf7Sj1iq
cVkQ8oNRHlUZruRU0SQYxKcC34odj/jOJrFRsr0jhULDelLdz2kfpJ4enHIPnh+zjFX5Lbm1vF3l
Gm24LKNM3VFpF0nVHpGCGeSMBVivjmr12j7YufmQxd2NFyPxYQK3GTsbO8cC3jgm0VtnWMcgn64m
E6mnZQIKGqZ+TJW29NtiZhWCTwIfwQDW9Jb0Ii61aVDLIiHd3RS4k0sVW2D95T5W8jrxkQFgs6EH
T8G64lm2YSUk0IijztSbK9Pq16ICz6VnMCKjk5G2FxZL4ZKGoIuq4zPjt825iiQacMKt0fHirwXO
6IZAQxO326qyjo4dJhvlFdqy6uJilxi0/Zbato61czIUzXFKKsW7R5qgdeWNKc0jeSbQWSPNaCJD
LjUTZtdWMUWLVKhmHSc60K+eiEfQ3A3wJTddnB8D4T+PFeJSqrno9ZZc2Up/EFX1HFvoRkYar8ZK
STqfg+uAzIUxUA0dDFdV472x4pXMbRvuYSP3QcWGZ5L2pWqbU0QNs3ZdwK6b3schRQrLCP8l5UPi
BxVSG2INKMljTg/5IVbeU5HoN8qu39xyXNZVDnw72AS5XJVNf/CUtql1k4KF8CoqisMQN1foI2cS
rckKjmq7Tf0WXplvfxB1adHPetbdqKXKdyHybro15XQMqrrB8Ib+HlDXgmVAcl2xLdN620O4XKPw
7PrJOtf2U6Nh8M9a7z7HHwhD9qI2a4asyt73uJeCcjq3k7nzu4jphN1e87Bb1L1amWjR+O+Zu/iV
f7YadckMl2AUWZaijW4cgsb+GNxOeAYXsiapEuKiQuSCciYyYtleYFiYL9JoY1H9Ri16sIMCNXsq
QoK9NIQvtJZPTl4a8SIHUcTONTu7g/boiPyjqPW3zAXXIor0YcppNDcSazFUpVjB1cAaVNMn4cTl
i9tq/iX032M0YCobdf2cFajUrVMZp95KSZo7w1qf+ve2wfuayeHG6sdyb+XdM0GITSX0xzFyjlgz
N7SEhyusFhBrRSO2Qxt8yQevXSV9vindcdv5BQG4+uxF6f+ydx7dcRtdt/4rd31zeBVQiINv0t3o
wI7MYYJFSiRyzvj194Fs2ZJeWe/1HXvggU2T6ABU1Tln72fvBfS7qS66pVF6J1BgRCSY8TbHOXuF
6uHepiLhyt2SsuxOFYa2CQy0jhMp7G4xRINbKtpx4DG4WLlzY4z1dkh0BHgJwccW9AptVoaEOaIs
w2pWvFf8E3Gt04UtXwMcr8tmRIdnJomr2kwbnE9hYd3UjbyJ+UzYB1QOExAdqDcuaaMxZUSN6XUx
8xhvVvlOEED6LtoEJYaKMEoI9mlgrPLnbBstmjEPzgz/xMEZglkbdntdUTOXL3TcGsS3zycnNS2w
RFO9rVobOOAAU56Zjr+j+EObgQxQ7gOMlTOK50XUU7hjOWZuxOHLZ0yoBOWtFiLJncZq6QdmCytu
1q369adYg3Sr1AhYDGtC9FJy1Dcq7pqCCd9w0EUdLcGSbFrYtkZcnPDyJLtC7c9+M9yIMXcVT47Y
Iax9XjpbeLD9XTCN7bpvtffYoWNVW9Y1fhGEj8kk/z1P/aEmk786Tx1J1/j0n42LOdvv60kKgy4O
VcZJSOgFojF+9KeSDHm9YZERxmnqi2Dsz8aFrvJLFpEYHG4I951JVX/4c/kJbQvdcgiXFDaHKfWf
9C3mI973bQtdB4RlOqoKdIOuCr2Tb89RZV7CPwui4FK2KC62eKZ4YAzrrGphwCnCVzwF2GeBXKZa
tMUkHIidlu6B3h6aao0TVG1ue1P1nY/erreVgm3zFatrRIx3nyX0P+CMelcqoh7V9SdFwb0XZ8B9
kUgHLCJgxgfuzMmYknCZ1A5HDjJVLAntdDSxRLUNfgEox2PLIxFxxgi2FqDBktXcUPBckk+1Lf3K
iZZZWhMXUfZJRfGSUFC3cuwtF/R0DjXSNqFdNhQuRsjh78s3/m8podHI/ftS4pj/VEPJ7/x551u/
MRamWWpos09kDl7+eufzUJiGynAF0hpI/bnR97VlN7tHMKvzTNBolTSn/7z1JeWFSesV9r10VH7t
n5HYHJ687+99nOk0FNlhLah+mjX//JvWdz0xNmiN1jz5MpsOpWOKAsWMHZT6Shn8bppQzrfwGRXN
DBKc4p6VIwJMgVC2YfRF9CSSo92GIkXi4nMNjnxiVHQkLK0eIQUhZwzp4NQbCeeUBjHQY9+CJF1N
wtc5D8SW4hS7Wq+QoTudYQ7XLQRxCE9K7q8to1KW7ZA9agJpE1rTbTOz1Oq6AyvT0U3ivJgyx1Xq
tdeKuyjTjlVmki+XYjcYxU02UhKouInBqBVAb9N9VnoHtR8eRhpaC/oKHtLoFGfvDvYWihcfUy2G
7XAZW/ieEzAVi9BG3dDSaFt0w/SYWg42gq6FNys5wdQx4GPOpUzMilWf2lcVigttrlHCtntqUN5R
2yT7NBS4FPPxUnNGWPdmR3ZRC2LG68pmKa1pWMUNCheiciZ3pITBXa65hJeNK+TfwJPt7rOiD3so
mlAa0VAuU0/9PAxFvmyNek2s3zbE7L1M1eQQ2VqxDKvqoTVofkZlf8B22i67sNMwn8pb3Prr0mpJ
MI3pXyopFtPKK3bM9/Bw6vkp0vKbsuyXTET2IQkxwQDcvbNJALVK/ArJm46nYFEF3aqRqFKTeJUE
urLsCv9K91K3Kmyokh4NIMrRCJhcHq/t0YInLJtjqkAqw4ZDsBZBc3jqH1vIdkywHUiWowxXiulf
WM4IX3KaJWaIq67FXl6K6tHPEUROBEqPo3rb+INrDgnGoEHdxll0g3n/EBpyFVthuzDB3ENNxatZ
6IqHKdQLlmJwLpSVFo5i+Z4nar1VYSwujSw/GWrWbAIc95mM72kFUHaVi7wozwr6dpT2sQZWlrXV
TiI4yulDD7RkjlBshXwWRZtThUK075PbITbAJ8zGxFltF9iMzUcSpLnRtWBfFCjbpDPhD+n7x4z9
EPtn8zh4/YOq13d6jdfdr6ZNFjjnqDaWSkRDyWjeBsuDrZ8hOWqtuCC9QiVFEq6obNpbL6JjnEcq
sJnRx12rc8RuSnqt0zNawZfSAOQ3hCMx7VBV3KjT1aUu2vsuREmnxiQh5maA2Tu/EpbzCuYfXIJf
aqDr1Vu6++uw0u9wRm0UmV960DAM++QtTkZ7ZQcCPPCgnPxAP9JyV5YyDtdDmKAc5uifqeNr6k/D
Nh79bdtVxDMHtgMFHzSaTJN83TQZyCF4guOczpgMk713xAhuWkVuJKbqwGl6nfYwXz0tAeji8IJN
pV8n9XhWVR1lIDVAXpUnYIPYbLzgqkpl4prq8B6Hzk2kh2Qd0GREWjWAU57Gj76jA9p1mNkwjelL
ZsHgEOuGcD2LwCkvaW/JkOLWEdJaxCrQmbwIR1SJuUEJQhPdH17NoCFP1pwTL0wH4Ft5VBX9PUa/
uco5vqOzBiFswBKeYApXsIU5Hm/HKX/OvkCHoQ9bM4a4gEcsKsDE1DrQyVtAkIOm7/wGm9g0g4xV
LTpCPrgaIRyPkI4BcyGD8/ZpEu2Cprz1gvKjmdHIgL0PI6xkcB53xQxPliOwOFzCJhGVrHvVDFmm
aetaM3Y5gr+czSBmq2fGkdSAlWZIcz/jmsOuf3BmgHObKzzTM9Q5C+PnAR8hj+Owjmfwc2pL4jsG
DRY3VGitf+8rINFAkkI3G/V9YKbPw8gnqjpMayAtEI2YP1SkZi1lrTxgvXwPfGjKY2zRq5cICeuc
fr3+MlXio1O5GeD/3RUVXxhpTnJlJA0Vrp+V6zK1Lh24d196DBv8XiGltDuhl73hrSKvD85TqjMe
1udgq05hlgEC3QLhtgpssWvzGBGvZw87vYd3UnhPgUUaXpWE7yktDyhLPahEhrLbOu7uMadPS3RJ
E0LeqkOM+e8piQ/SELg5fn1Kat6r9/EnNQK/9/WkhAUXswnzS3QS80Hpm5MSqDwif5lr/2HP5QD/
9aRk/uao8IgRVqCB+atCkMZvhOox10RfhrmVE9M/qRCI0PrxmOSg5qFCsKVEJUDp8f0xKS0SHf2d
bZ5SCfGgEJ6+yoX1bNG0zK32UWvM+3i69sZuAyPZ1Ur7um38ey8hHwhVvlwWSELLbDxCw/SVT7KP
71Mq1ZUqq2gzVtkbvrhmMfY+hXK0FX7GQtHmGFgqbxl0dCY1ob6QllO8qQ38FdBsvcsy5xEDEEH7
rsyt51dXWY98LpLBY4qmmGbE84TuOCnsatnTORij+NoJ5Gtlqk9DN2pLsxmO4Jnz5RjEACbLaI8F
lUAkZhKPo7BfQhx8exo0nqv2TP5EEd3HbfIiRmva6Sni8ZrESdOetlOpvXR1enIyRoCmdetUG6Bn
bgk2ZIGz8b4Nwmc7VLa9yB/rSvGvLK1YOTQ00qw7qREhmslIozc8zRjWcpyndGHwOS8aqvoMMrzZ
n5yZOJqH2k5nSkSnMBgRrWu3czQd2vwmfmbkxuJXRJu6nhD6q5ggdRTVdOECRkcaqmHdW+RGXW87
+sNLr5coZJWDmeb9Nm/o1Xhh6/Z5hLbfPNC+ntY6oQ7LLkmA/iWfKzStq0bDnxhUYlOZU7A0uvZC
ttBWRGxPwuuyTZChzg8xsDCs5LtHVG74sx23ehPTGK4I7jkE9sSAOQLn5zlztMAB3fA5KZxTSm/L
jHBpA7I/9H5AjKi1soyJqA0drX8iDLDeM8uUgTTQu57BaxJD/Emsul6GIYE6bMTcbKGDMSQFy95Y
r3hCdj4MlnVbI60XcFZwNF33lskEVkXHV8pPoxaVS72MbjKVM3PAN6cU8p4x/aJMk8pFAWQfSkXd
JXZ+LKLhpUuHh6Cu34rS7lcMG+bRu8l2GWHtHisOJnHUwMlo8lUHp7ANKZ8nZhjLMEivvVqXRGIN
W+rlfA3XIlsAse0Xcb6TWhjB1MdykebYQIuzDnAmBsNsqAmmA85TBDliFUgktJbshfzrfaP2x3yi
MsGadEX8wEGk+U5LSfdNQHXYnf0W1f7OCXwiNBj8mXZ919fhLf7me9SyO5HNg139PTfNXSz8M8TY
l6xOIFdgMgYNctBltZdtfmy7uGHOMVwnabcZvPCgtyaYeeyRTr5TZ13SqFN+B1e+juOiGuW+SPp9
X4uLCPRk3U6EbvnNU29xZqn1iWNVcy5aDMHjZF1VjnZjhMU+DrutHkPHGZO03UWddtZFdfQLCy9F
h8+K8CacW7d1Xj+yJe69ITq2gb4K/PEmEwmUYx76OMFe24ePEMA2hp9vUzO0dwQqbMyuZ9ZiNcBS
nHBJvXmtY/2gyrxOlQ4oFJOIoAX84ognxiTJ0hZJsnK09qYPDAAlJFCT94tZf0qfaEVsrZa9Gv6n
BoeRrl92hJfzMtnOpld6osU4poXdc1a129oQH1Ptt0SaUHsA3A0pgintJiVLbzQS5/HEw2UCEWiw
9g1SXpHaQTK1mewdvz3oYLuGpm0WiursAwzIepfsPX+E4JP7x94j4SN0srcOlz++1OSkCGdT5s6p
IqUXYu+wTkuhuqGhPhDkdhiI6paxclK96Haav0IA6W+FOvA0+q7U+r3qK4+D6M5SVU8CyBIsnnn8
0L9qCmVQWPh4a0pO4A3fRaUa66z1GaTb8AylPI4O5W8TVts4jzYMKvpVbaoPGGauyrpbQBBbGbVy
3YH7Xmr6neW3BJBOb2B8biej8Q+ZURY74Xs3RZodlUx4NN0TV5+MF7UwN5bmMVwGHM2wRnf7atC2
MSWtpvnvMSdEekW52I/ggUC7a2tVLYy1COXGKmmcclMUQM8525u+2GKyfar78Lak1B9b/86r6i3h
VFR+MwMVYQDv+c4fk8emDLrdoF9QNKwiwXA6MkeWlQHAUH7uG/8uFFO9ss1uq5CV2kz2rqrN6ylR
t5Xv8NGoZ6WsskWAX6Zrtdt4hgMIlBsru+qx76s903jzWCfs925SK1ritn0ZPhhp2LD4073VMuZe
KXPxdVCCsCzx7oV2x9NJjwKTJiMH3tI4FlsOjBvLz5wL+G2gFqAO3ElBWqB1UIcwUQ+Lrk3fOlgX
uplFa3YYLHxIolaFliwHrIRG3mw9OuSrIWnYYjqnu4qSAcWOMn5kVY0Vk4iXeCShVkZId0wmDa6R
JI8dtDsqdrPCZwP3WQ1qS1mkkQlwNPWx8jfFOSvV5ilSLUjmxlQp69bujeu6zyaMKRNjzT7RSTzq
SKPAjz8lEHWVA+7PKxi1F82O1/oQuZY2PaSld8PEZ9+WMGIsyA1aYrduppZPXg9OFvuHW6k18aIx
ChIdwrVsmrcuapF02M+6J49djxURfjVh4OvGAzkg6zt8SOPKtoJXVtYHIast3tmzMIZ3L5J70kLQ
SQQ4VUJO/bUin4rJ2FthevTCRHJCTokxwgJT4N9p2aLpTWKf+jIVNlZJnN+AYA0XINF2hW8ejCHc
qhXskbjYpQ45rLmIV6EVE10RyWunT2+bgQ0jH4l1zrK7jCxdWhPxnqJzJ4RydKhcOQpttKHcNZ4D
ISPY+Va5J4roEYLxPsHPXkl2WmmTG198ojBmPuhfDx4nhRE71eQFbkU1bJTNexo4B4UYv5qbbhja
feskn5jmQ2Z0sh0e95tKA5GohUtHp78lU3JVBnFbx4AEm0xRliOer9FiVg2X3+sg9nuRWLS41JuI
oMVWe0IhyxBdHdaGgi0V7DZHC3RtGfiPMYmfYBMvQZz5i77SXCem8dv6CfHU0YPjeBtpTxfRaQF+
HPVu7NW1jIrHnD4glTPjWKULP3tV3i2HqG/dJpCn3hAnz5cv4IlNFzWmq3sW7ONw54TCWfu+t+/i
6b0YjVNTAIRifW8OpsbN4ue9QWeJDlcwFqrrjaZ9zlE7ZTr9BCb4q6AR14muHJJmmKNj5Lqu8dF6
RkBkQI2nJhjNZ6PHrOqw0mA9GuAk2TgGYRQPxnRdKOYzCEpvXYTlk8AFthBmu47rLsEnxLu2PXXr
zEsPNIRFlzvB1q+gEBtFfCyY2sfo4c6KVu0L1S9XGp5DICIpleJQc0Qsgazzb2OMbqArb/1wKDbJ
lO7oGTAgb9rDVM27tqE/DSoPWiQgLlQD9r9y1E9qHJ4A3y/1SA92VjDVhwJLGekP8hE7tn/VQ6Nx
6uQZm7C+nR93U84C/ozdHGmyfLaD5jYr9Gv6iOHBkcQuqsXOL8QdUzcokIbAp9jSyGBeCPWv9MWG
CT3jLyP9aO0chJiEfCntO2BxVyEVfkw7sEv6wa215mlUyxvmaSgkCusUqf4pJU8hsfRxnw3RQ5k4
z/ogb7Dt5HtDRhnZPWa+1hr9eUqdnTPzDiMR0oPp+MNKqa5zNSSUIdO7bZQwWqy/YDP9LwjNQY00
yogKgqdr/87ZjKWpuNrv/M1vKr7L7yLQ/wPS+pKHWVP/7/9Qin3TZ/6C1TLRvVhQkpjlIB3/voDS
QiEGTcvCc1SgGM6O9TQsHP321xeZ9aV/6U+/XsRUgQfJWdX6QzM79oZKKnUdnsW4U7KjQBCp6HdN
f/fry1CJ/udlLEZZOpaiOQ/v+/fiCeFQBQgO7tpHn98r8r84137y9+n8q+iLZkk6yKnv/37tjGae
m2lyznputK3tvf7j10+yssYnxAc1Axm+//tQ02nQGmV6BhCUGhfDOfz678868P/4Gr75fH54/boZ
q7Tv+XyITFLSZUw8hbXS6be/o7/4x5eyKLtnXbqBgcP54atIbPqF0GPjs4i22AgbsShopOpLtmFi
z359rfll//C2vvta5lv8m1GJUMO0Q7manAu5pP9mUHc1SErcsVv/+kI/+fy+u9APbyqzIgf33e8X
oiueEc8erNlH5q24+C/32k+eS+gZ2BdRpjGomplo374pidAoZ+PNzrVce8lrN7iG9+nXb+dnt/M3
l/jxdptqYlx9Q2TnzH6NvGdd+f+4nR1cG4yK8dkAJ/r+LURlYjS6omXniBWQBm4y/iGU/H+1Ds5o
QyZkwpR0f2Ze3w8D4kxBwt2Yan6erNfeOrXzxKf5L2vXz750bmKG3cj50PLNQ+pv7i4nSItstKf0
jDEbRMQ8cTGuOzS4jMrkf7mTf3Itsh00PHCWzaDxx3Uy8ABmg+/KzsFcU7vhzKhwrZKe+ka7+fLl
/zsY1lge/n4wfHrvXj9zH7/jxGzG3ef//Z8/lBT81jcNT5qn3Fe6xk2F7uCv0TANT80WAqOqLpGR
ztbYrw1P5zdDM03kCmgVrPnX/xoNO7hDDJQMZMKC5vlnLU8pv1/uvpg52NzAYDLz5YI/tjy9Niyk
4YXjGQirHME8aR6199A498Ok9Qsxgrd1QF3ZU3Jjj/rbWCTK0mLEt+iDBDFWCFXPApVVx85ZCtau
QTHfnCA+Jq3zALfvXvbZBx70dTlTt0K8pUmRFujkzVnGOm2Elh6wvGO2n6ld8cRZV5QwF9gMaAnG
D6ZvTmvJPomkvqQZiOEj14ynOCHceJzeFM+mzQcqrAcZBgrwUoEQCzl1bvCA3abAxfJ88E8euLG8
74rFCIBMtSmahowoO9BkcpxWEaqy0m53LegyGI8eRI5snQXKYwvcDGTIAsfkiU1oPekBC7VlwSXO
aozZoNEYuq1LG7yPRKyl6upnxpznOlZNCIDleDtBaw07Ty7Vol5OJZA1I5Jonwh8hYirRK6jGM/p
FGsuyRkWCimRXFl56KzKHp2+MngbxtdQhvu50+nAfRvJo+/hiUmQcCYYDioU44FJUxkvfWZ5HNNb
vyGy9AtSbjDpk96rfY+wFuxPGayojUTgJhHuYnqxfoTWJfATfeVBT1uA5z1Q7btxPW5EMmynvjPd
FkbJIvL9zSD0bml9ydIAZKFbaFpQv78XkXFMBOA6PMsvkx4HCxzYlBtee99k2UsI4sMzgP0gzzX0
eje2CPwrEmbNKNvmGvD3IC4M5s7d0RGkIMa01oJAPI66eZUW9DpTY3wtVaO811PQHKl+oxKd1Rc9
vLRhM0SRx1TcY0ofelsMv/nSL+UeHpm6cBTIFqMyorlJ7QelA/lilsq6d7SNCDv0BUwlba/fTY4R
L0RemAvdz4hmQ+5LftomDANrIazpkmneWrZgEhRskFXVPkz0BRJD+8glnxmx3k/CphHvxffoMZ/9
FHxdwDRqaGym1tNTXSHTFowXaedZSyJ63WxorlLEi/RbpqcOpgw1/mszhi7ZzHumuCs1LJ7NEHmm
BzJ6GQtK76RK7lq9ug/YZhdFq9e8tHgP9MktZrRfYz2XDmVw1ZrHCpngFOgbIUkZhemzESMsorZ9
MWz/RmMwa6nZGc7BeSiEwzM2acgJ0DqUZnaY4g4hMMzs7HPMrLqlvnDr3tvkYY8LZzYEYbm5hKax
soXHf5lNQ41VP02zjQgC9ms6G4sMEUOEr0mbTXzsPN14Z842pCFPQDtX1h3Zf3uYHc+THRwTnEtS
UzbqbGVy8DR5qdimDjB20yp3dHW4Ab0Z84INCj+UEekFD5R6x238hCQzmJ02pwYPFYaOzw5SQzdS
+kvu0YBKa1Wf8aEWLiZg9clsx7JnY5YRD8lljJ2bOGZdoTAud14XCDcdVVL4TOdtwOMV4/XyVExf
nmV4K+IQEFKMpeNWkbEv7Fq/TLjFlHH2jSHwiG6LTP3kjag5fVh7U54fUMq/qfQs2hnGl85YvibW
TkHjR/isghoyDg0lstze84K8hZa0M3LlipmeVBLnTsrxwgQ1wloECtDTq8MEG7DR1KsQVmAQNDcV
fS9YM/iHJgT0UAUh9tH0QdtZNAFmnhk9iL92FQVpSz9Y//1M/u+WP+/Qf7/ln6vXzH//yZbPb33d
8lXUW7OwCx0Bfo0v3pA/1WD2b2wChsbubnMGBBj855Yvf2OKaSKCxNnJBJI0969CSCl/k7Zp8g9/
1gBrof2TMSdzTA6Zf5U4VJqccPn7DhWsBr/A/uEQWprqGPaW8I5EVgeunJLYQZ7oeHtlKMU+s2pC
dxUxti96FFyF3vhs++q0xEH4SXaGSu/H6C3yDRmVuKUUUHmLsnCHKIwIODSD/IHUTHNcghSs/Xma
hcI8Ck2NRVtWr3rihe9NK7xqrWUGG1Ld5cuMxmDG+rgOkJuVRIjVCLShcRLsXBEMdIW0yFk4MSoP
r3U4JYSFCQbOQJQ+VNWHYvsDzzTSCiP06MNrLCK2Svd4FvAokogmeGZ0/kYfJVuF7JnGdTHleyYX
x2nqr1U5HYIOYrBUDkjRiQEJdgPhJEvDxHBDu9ZY5nXXrrRaDw6Fbm5EoVwinvmbwrP3TRGwmfkc
Q3waM4eszqulpvSxO5rECVSFAqO1bM9DU5+VeAA7xgRpMdIMZo3o3QAxHSZRs1HQc8mx+ohlcxsm
4laYBGfQMGqyi1LG01HqiGXKYu0XZvAEA3ppEczhgbuHrEOKh8yDDwsb4lIr6FpqOVFJqNqdUaa3
imn0aNvZHawSWFZVpRtUOYSZwU8c0G8tvMkyV5qaBefOJ7Y0LKJ2QZjNuhmU/MbsaRETjIncj6wF
p8XmoKmMIpUjaP91Z6ohRNNCv68dlRY57eCKdW0N1RMHR5EuByZji6mwimfDa8ncUhU6lotM8+tl
PTIV/+ZRvPx+C/+y/cQDNwMebMfkwE3D4PvqKhJBL2Knjk6aCIq1THrtNRj5nHryGv8g9fy7/kkW
nr9f/+bEpuMrm9J/LoHzL35dAjXtNzx10H4obmzxZZ37ugTyI0NDhG0g7KYSFhTyX6se6zf6bNoM
+zSpcZCD/7UEEk0M74C0RMQj/1gQ++MCaFgoaymfiJ5DDIuq4vv7pG77tkzNsT+L/FJBcxuBV3/z
ofzkTuSVfrPEzoQgPPhA5o1Z9Q4lZq7Nv6nzzZ6EttZq23OtR+RnPCji7DAVIuvNg/x/onj49fW+
SIx/ecX5FX1zxXn6FxIG0dJ6bRXicuYqYKxzDSa1n9fXfZXbV11jFCczhtJcm2szGku39AbPAEPd
EDWCd+kFZ4y2I0q9m0PX9JVa57CP7eBgYNHBmx0vC0w7nRJ/OJh4ZkhEPrt6rBwQd+RXOH1mz4+c
3T/V7AMi6tZn5G2SGIdHyDAsyQIW5htvHDJMt3iJrNlVlE3wczwtvFV6FHsYj+yu2+MvIHw37A4K
1iSMeEwKPQDeJedifaTyNPtrD4UM4Stym+fqpcPoRP7lLhNtuIixQOVYoVqp3FezN6rLXjqsUgOW
qW72TqkIz0LMVHphXwWzuyow855RF44rLxiPOSr8W6sRDgo7rDvZbV4G5tYsi2XEgHNbohpprqeC
WfGyTashPye+fmjAN5+ydDK2ek0WSNrK8o1k4gMxw0eG3ofCCndD3LPtesyx49M4mY/q7PHGF8/+
JrFSwVrEW/GZ0FrD7Q39OBT6FSz1VRcXh8brobmNOzS0FwERP/OIMxnGQz8OB3w5+aqZUkH0YL+v
O/EIdJFcpxxXWDbdI8v2F146Antts0sWNxumlKd4iq9EHluLoTBRFzQVepAB2yb7P9hrWkZ1ZN0z
CodtRGreWksLauS2b/CuafW1TX17IKuYysjW9kn62VH6sx7YN3XLGVsNgMUGQbVWmR56SXhpM+W2
74CEK3wtaCldO3SYHTafrQA1h2pG1xoTTqdNW0xmKsoEc8Vo7prsX1IzqDXNXt/0VbcWWDIakyGw
KlZ5nt/i67ykXol+emAI3yRxdzOMwY3pqbuK+twu7Cd8GMsBlTnTUEUuMbx+ZJJgXmaMNCcIF6Cn
QI+eOWr3Lnp/n6EbKHV82KxgaE3QZUlJRLTSU2v4F2yuR92ItqWRUhIbbmKBDBi8fV0DpaU4q6dm
lgGc6DautF7ZsVBcj7bfoHaC0ip1b1068kGvaua7tM3LOOtnkuG4jRHP76oEH1qImkKOylVcT3d1
0YP4TZpTWOW3USdWUYQoqPUiB1WG9uq00SuKmmNeJgSgR8y7+roaF17dp0vD6+ztl2Xm301vblf/
/aZ3Sdr0tf7Jjsdv/bnjid8ENGxEg1+SQOZsvj93PMxPKBsxcYOl++Jj+rrjgdHGWM5sQ0eM+Eep
8DWdkBagg6PEYbOcoS3WP9I2oqL8bkeadyKLVjAtxdmeha3qh7ORHvgZjqVRPRvoduNt2HUaTa8y
PkZestQnnudgeuRAudDKJtkQ1fqohEG9SAM0xLm/ceac2JB+GghIaoa8uja7fOPoYt+Sa26mw06S
8Dq1WyNSnnPfJz6BPAD/rEaOf8zD2l6aBkkclspEMK7Rg5nj9JmWFoPclv4LrOFnzFasClJp1nrf
PE85ybv0IlbS6C40Q6RbZkrIz8V+6tAPawhydM6A2EDZmpR2hIst3sOi/ugn7bOtIITI2zhYVtpw
m9oDYQADcd+j8lhNOgdfuBWRbRL9NjmnzBzHvaLHNxRGMzWYrO2BaC8OmvyPXv3B0RX8x1R/qjp1
BTiU1DktxGzp6aTfBVXJOFh+EvETrZGgNkleE6Qr9BVxF3ABPaupVjQ4R31pxHBVqYikZFiLZws5
jWycVzXUvc4Nh4ppe9YFyK+zeIthp6RPp7SzMrBwqZdoxgpnHh/byZqWDmmHWlepSzOs2Kz9vrlG
N6jyxpLqustlhN0FDB2Efj4qosAXdUXdEZTRvCHEGmIb8ymfKqqyNsb4Xen2Is9J1G3msAoCr1LX
czzIPlY/XnNv6gB+IxafvlsGuZlfOczhoazo4RFqRbTqnba+CoCIboaKKoshOujAEmMdpgACy9S4
/dCc3N6UQdmy5Hn+VjWVt67h64NIX7qI9vHQlBQIIXLTrS7Md4ctcNGWfe8ijqPx5ui7RLT1kmjl
5GJLP3bVOsPvptA4c9SMnTyRwFi72tjga3pPB9XZYA/BflcpycWacv+KTw5rnddnr3aO1E0bQ7H1
BJS2WqCIz8DK0FZt4mqlWhbtIyx+b8UIRjKv6fzVRh2AJFKqfW/l/d7v22rjBEhxwSCTQY2zx+XL
01l6jY+QKRYbaAASWJeb2SkVLMSUIkZ1ChJJbFt/EymGI/DzwKRTjAy0DTkGFHrnEjuiKrxKjORR
hhOHZ86/qgCEYPWOs8YNoAULd5D2sMZJVUUfCZajrc2B+zonOmWF66HeN+BYEDbSvq7EcJdwAEJb
ysksk06MDrd8GBXHX4qJ4O4cEolbBwNK1/pZ8cvHJM8IGrEditOUrluX5qTzCgsXwBg9kAZ+ico6
fCGq1yJ7xQ+QmNm4WAqEGFN7jWzAXhgmFkfQ++XOaU2yL7sX6v1179vBcnCUjz5qZlNO+CyV6Ar9
7tPAcXmDfwCqQlrNi4hz5KPYtbHzkfOcKnPh2KT2nbCNS6kGV4VqWIusAmsh9E+a6Tx2iTKs1Gq4
NFNl7+yq2uZTfVtPzj2nNogXDckgZVu53YxxCJl2bKRGSzzKENjZMG57ytHKDm58gSvL8onmbhNZ
7g0xvdJhBuaYEcKck3BteWdbcpgbJNgb/Jo8KWG1yLjZmIQkcJrRXr5FNn1vM26irS879FE6J9yB
aJMroEOkzZh5jeknfQN0wZol2gzlSXnJe+WWbv1s4YjDKx9xHf1Sv3Djsbd5STSlRwX2NTEthErm
vX+dMvenh43gEPSFXEzCI8BovmhTGIELUMLZCOxvN4lfFStb42zECtNuSIUERW8MzqbQ1REwR0CI
HNokVhhrxA8/Rq5XhxLhVqq7zhThyamMD3onZNvp0w4l4pl+9D6V0QE0YOrKXmgcozDmSFLo1jGh
AuvAMgRnRMLadZHnW80cyC6kyR8GyYRMKtQ2mpwPgBGvNkh5arWezIUkI7GBrlICkppVSpQMcfqM
d2pU/5e989ptY8vW9ass9H0JlQNwuoHNrBxs2ZZvCrQkV865nn5/k5JsBdpreVMXPECzL3rZsoqs
yZpjjvCH1ljhs+khf6GYSylkxhAm2EMVHnaTaQIthzDVPExP/5vq6IwZf53qfMji9Ta2q/itH6mO
QmoCQpYKF04I9fizVEc9IDhD4kAbh2aM+NFTcW8fiH8Ki0Rj7gxC6Flxbx8w4oSsQ6tStSxBCvkD
xRzFfll8b2aaog9Ea0E1ACPJr5AVup2Epd6ow7lde+UF+jHJVaDk1pcs1tWjoYuim0GBwmXXrXyK
UISLWELrzxSjRbvL6eoPvpzFGOwCPzexSJtbUl3OUwjZ8Arlszj2ndNWU9wTA0GtS62v+f2WHsis
GXEiY5DUryTbOerVsZhUtV+vwKZFt4Erp/j0di5oUvyCyrzqvya+7x1RWMICkOpwpqYyHU7bzsHY
D58cFcB2rK0HN7FwvFLsRZ1J3XEKj3JeZtgRMKN1cXSTz+k0ZJMmiPCZMAsOlcBALk8VkV34lMsb
z3KsooAHKp1+WeNojm+S9x0ViRtfmJ2PbjsNhKZJhu0pRNDoUB0d/MRIKC88xfsi45oeNFq50PMU
bT8M1QO5lpa1MFkfPezWmddZ8xgtHUVYsVNVY8ruM4GK4lSft8xsV6bCwC0wPGzcE4ilbtZejiWU
0zxGCquRcLaSDAM0J/ZgquechRopYTuwOpKwi8ewHq3tAAv5iuxnNghb+QJ/+UYNvxa5hTQYbVJR
+4dzxcvJQ4qxFqxbfy51SjmLpUheuKayCnWJATAacb2BFUgdQQUem3wNbiU87Wv9XopQkkOWGLdP
AwIkrH5IJd4HbNou8dHTJlHfL9U2/qSGHT5esFfpdqrxeVsoF5kKvNarGPBpyGCgLURnlaOkwAkt
531MM8KnodU9/OUM+KZpclxpyr1hZM2CZPhD60dMhUhAxLQPlZREPrc8Z5Um2bLVjJOwd07zTl76
iAggaeGR9bkmSoTok3jBeTIGWNngYOHA10FgYDg1hnyWR9I1Uwbwxr1+bLoNP2ncr4laftNwIJs5
vn3LaHnJPO+6QFuFRDeHlpLj8AeXe0jOigg1kymQhuZWt4URrAbJZuFm/YnT4a8yt0hgThSzKCEU
DnF2lDswnSwO4RMPXO3hf+tOWoQGEeq3wXh9ixcJ6JJt3VZ+81lARvXTRhEWYe03vpa2Ce/y6Sf8
1s+AjBgtJRKVEuQYeqI/u60EZGpSxcI3lywGdMqfBGTkDF7XnhbVr/h0yCAwvXotKauFbYqtWt+d
97EtT3UwJwvAtuE8DwWGoK+ZrUcVSZKhtzddmBwTHJ2liSwa5mtBICSIqpmb2gpeTuZcsg0ai0Nq
TdECk44RKFsbrjqeOU1935lFhcEMLPc8dj9gbW2epi01wNBqBblTW5yBKaXT6X+q/W7eySmuHo59
hH7OEdoE3/Et/9T5GEDq0XkRg/lX1JUTQLp1QhL1INFyAPE0E0f8sme9rFfMfLCE1A3zPrT0686U
vkatdN+1wpfDhZnf05tDOS25KxI4d5GMqbnMJElBQGDSoTk0aR3z2+BDGxRKq9MY50mYDCgNNUP2
yU+yS9VEvzGDK2cNOpVTg122Vy4b79QLDjHGuSoqE2aOez8KqlF6YSqQUrQyOkvxcBz78HNSaDRW
3Vs/NT62hksZEn4fPDFDj9VLWyiT2aghzluvukbnDJxYg8NDE/vxoq+RcqBVVSASiac2rN5Zjcrq
qrLlcKohtYnBaGNR+urjlNg8Tit6UnNy1GqGm/wq8sEoJJK2bLCRvILgpc56wAeTcKBVrARGOzMy
STstC8EgAJozjWwlPxql8iqrevpxIEuXTQ8xA0DmrNTqAFJHaKwaF1XKT6knWd6pWo3J57Ay6J3G
jMZYvnac9hq9hbYPKBsN+3sF4Lz323O/LmF2bKzl6o3NXIkpxx0sdUuCjx47q0BX3IUBnefckgMU
UUd0GzzUXRe53mWnyagG1zbsmRIjMA5X52sU9DTYoHCcdzou9FLeMM8c7I9O2h1qCdYjpYvEF/34
Vako11JDLtwwq5/37pgu2y71rlCTLCZWBaCxSoH7yKylVrWnPZzHjzwBFmRSC3PqIu4v0gHlTLvp
8o9e0X6rgDAeW5FKSzT073OF0m3UBw5lRzmT7IySTgZ4n0iGgq5B3azKxi1XKnyrD4VZcFplVvox
UqF25UrgT1s9/5jZ9ayuTewzSWHALRmr3sR/EwtmaiSRXNTZAB+IdEPSyn6aiBTECNTuGLSkvRgC
1zyqB3nNCTIt/O4TMLEcpy6SGQqYcObpDi2IXpcO6XJ3X6Owo+E5Fu4ssOt0ibxFdBsxblzFkIMm
Y2EfRZ3fr1qRTJU1goKzciRFQ7yxvOxE2uWDqj+12+GsMi265jGQWRBT7MykLRdYD/WzWk2rU8ke
0aZT6GQjoTs+jFv+WxwYhO5fFwefOIqabXqa4teeDiPFRokaiDEtSKhouI7+rA7QwqFnzgjP0B0y
4ufoB/3AkRWMj2mHwkncFA5PjVANxriOwwsSOQRc8aM/qA5eIqGpDURPFc9mxoxQFGT91ZislyWv
Lcu0ORuHaCqSF5THIJ0lD9XjL7HEDCdfn3koWqk2mlPQIABx6uKDPJvHKXHdFiZopTO5MZzryAf/
yFkXD+PKxlW+nGp12uiHGNaPH5Bg85iAwF0Mbcu7ybMQiRlvcI4VvDRp4ZVGf+EP2pU2ZG02MweP
Dk8bhZX2te0L077o3KJtF6GS6bNWp+NgRlJ83oUxU8YgzzN1nnUxdE5b8lzRYHPTL0E0sIVJ6+RZ
ld4asd5hUpzH53oj5zFYxSgeFpmLaVkMMEyKK5jCVtBl2rncKkZ00sbheVlH3QQ0cz/1nQtNke+N
Kr9LC2/hVvJHqy1WOLAuDcnMlqrMXdCPnTsMP5xkbvTJoYuKxUyLEvjSSKbEQ/EdKZWrMYe3o+bf
G639wDmbzDvkOG+sCFk9B33LU8nKS1QcDfMoDsiInSTGHEetJjC2tO86Focr3fXxQK3Bo2CACx8r
lgy6C/YpfdYzHLI69JrtdoY5s7pEZOh6UKQvMZzyWRb68CjrGrQYM0OYWR7QijnoXTrOurgECnsK
is3XpV5r/cy0U/8K91YJ3JZSzp1e7r/ocTCwimpWT6qoKWe6VKLsY4xXhVkzY5RgnD7be1tmzEKk
6tnId/Msk7eRqdHbt6h1X42x4dCjdM7c96yaJ2uEnJUPzCwn0qSY1qt0hY4G6n3zZGnNKV8nxpG+
0OZoQE7/zh1pk779xBNByNEsEjzM7TBOlxFZe1Vvg8PpGgzVsjNX9Y5oufbTyMNZLO90dWJbkTMv
QMAy2zTR/AGUfupZJUJpfEfQsJPpYA1njstpgcb0VyiCzqLCTQ35mHyBl95X0HcG7VA6qO7Yfy7i
nLZjiXedVSFu2ncunrZ+mODk3M/pyC2xLpiGYHcK3XaFg9lq1OjNqepSF55dRU23PnDo5ifpKuyR
d9B0IYCdo+HmnagudRCabQoeY0ybkxDNWVLGrne0ZeFhLlVp3rWHtr2iJadNb8sIb+dLOeJBs5xC
XzRy+Dd0gZdBRFCdECSGfk+8NAGPO6+CiAME28kTtzyTkbZZEggQAC5lvLwCfw7ClyZz4a3/5qkC
f/HsqXr7nq++TalvrbKNvArTPA3UTgmGx8tmY2Wt9ARDmALcp2fC+LeYuRpxhZ6rng5Q8UiEbck4
weTtixygW9dW0ncmBIu8KE7VzLyU3fHW8IqvCTIVqGQU+fHmg//3TNb4Bn59JgtAzgJQ4m1Q3W4r
E/nlp5MZ5A2MATCJsmGZHM2cfT9GlJrA1zAcFCjDh0P7qUy0DhwVgUY0GH/81tPJbB2YiDMaNo27
dwHlQIQA+oM1lAYl7tVzZ8SybIduOZ6P9eeCzSty0WcLsyVgiis8i1MiOHENthNWxipvIeLpsyOZ
NNLM+1yjjdRL2KYujBgDXOOubR+m5L88/F/GZQH+efk+r3YtPol5UQYGo1ah+1iedNbd728Eksfv
70TEjWd34jEqUxufO1F7a9Lq1xaTEvJgRzp3mnbODHpatTd5s2qCixr1OyW4D31owhdqRv/vg9eB
GMcP1vDmNsJjno4a34cOYdzeSf5mKQRR5bdrTjb4/JNqgeTWXSnWQsPHAo5B/rlpmQ4p+nknRK/R
qg6G7xaCTgX/aZvB9PdLJboYbz4A1nYCUUYSBoLs5QdIwa7S57WG86EN8SFRnDI+ieB/MVDZwHec
kDr2MLRJufpqYjTdlYLnOiOfDGVOWRqnJbyJiZo3Mqx6Tz7qqKnKZZx8URPtqHNl+haqFCrXvUaE
1iIHSTcXa+k0DNG4KA9zBtOoFCyUepi19bD0x/PWDOaJR7OtkCbIuC2hLF8k6oU7hugbfhGWJohd
V55IWmIEx8xZC3hR7dBPMQwIGMxHwnwW4chIZJ2ZDE3GomQRlWmDAoYlkzXlq6H4UnEqDhi7FV16
rNT6ZRiehn2ybKECXiccJLk2avPM+VjrAmnDGSsmLEbg6ZA4C3sm2wyAsii+AZrKWQiM0zHcSpif
/g2PdMMM/LktRbse9PnPjf86U+4CEJt1X43n8lJbuYfjSf1ZW6I1cV5NlJN6VUzLOapx02GhTY/K
o2SRzfob6RCd8aW8NE+DRfhgF//L7fvq0H2zfcUB+Wxz6XHcWIl4ZLPoMEP4vpuV1QSWj/w34Wjb
k/k8HL0KeHaQjLHv8z5SOok/9neFsD2egikw3b/ZBK88BB4i0vNN8CpTdNgxpeYE6rkP/gkp9hnu
IiXiBCisoxx/Drnj97tuWwQEAQ/hi7QQHOerCJiAB7GsWFOpQsjOx2+tdPH7N9gWAJ+/wau1o3Fn
YbalqudVOxP4kU6aVv3fJrbbQsezu3gVZZ3eQbva5k2c9ngsjmrzo2p+/f19bDuSnt/Hq/A4cFYD
yDbUc6RlGeaA8TBxAzhz/P7hG3nv7Og0uC2zKvte/z9x5dssH8rA8+v/vPxj9fBn7z6brev1iz/M
N1TIy+a+HK7uqybmVx82nviX//SHj4TKj0N+/+9/re/whJwFVV0GtzXHCz2IF2RLQVn8TXqEdm9C
Crztt57lRRqIDOKQLdgVr/IiA7IELXTyBTrsPIdPeZF9YBuqbkPaUIQ1h/gYT3kR7XNRj4moRr8C
Du6fdCz0DR/jZ4Dc7F7qAJ1qE3k8G9XQlwEJpaE4jxAgO1c3MxhRtwNJZDBThs281TFWkhM3WnHS
Uvsozie3RsnCLSlrQdx+q5P4g5V0zkSV1VlT1xjN5MG3RpIPq7Y4iSRYGyU4kklQtDPXbOsFfsRf
O6v3lvD4quOkKA6L1ptqY3Cu1dIhyiqnFVQMpcTZFxwizgjoX9LJtFdpgOB6J80s8E11Z2bTTBov
Ipy7pngYXHHk3jiBJQGDSi+HSFKYNkkfJR8zCLclTNDpX3iueRyHX6ikv3ae3MDxCK+qEumVsqim
ECKOExnJJMTBlkOWqadyrp/7eDJMZEU/HsE2t2lzbFfuXe50xwGbVR3M6FLv0Z30Uve009Ho8VTp
hoRkDmhVWZdDJhrxNuVN+SlQ5TsPT21BVCmmSABc95Z018Brn2a0iKPIPh1iz58r3IMrR6fBmK8r
zHwWrRsF825Anc1XC2OZGi6W6wjVlXZyzXj5HLz518SEARdZ6klvF8taj7KJg20RmrvKwq68ZeEa
55GKiInRjaumU+TpMDqfQtNZNML/qPWXcm2308oOL9MErGqb9id4TZ10tOPnnZt/CXy84VsV5xCm
eZ+KCv2qKKq/GCMqZQzpJnWVfM/s8hRxRu8EGWBCjO7PUuRkuqpBhrdWV5UL2rkqvI9qXMLpQaLf
tmD2dmaTz+H13OEF9cFzhyWAsX6OA8PRkKkbhPV9r+fHo5kCKa8/83erNKOZorc2HhAqhrJ+WGPG
GsYnTp98NE8yJcL/CHEhk/00Ax/mz6ym+p4oxSq0SoTM4P+SY3momkSnSlPM86yBQhlBd2ul6oPS
lsvQiG70QcF/grlmbhvHIJWdaZ3RAUvThHTWHxZFBcW+HuMp8+354Fs5kiyOPY3Gks4RooFh4tZz
ddCWqpcdR4a+iB2AyBFtZj3qjkK/Dqd+OZyVDmuvu8c1Gl7U+4E13FIPl5/9tEZ71HPwhDLBOl2p
AgfmTewykS7l3CmuwMwk8VLpgwUayotI8oEqqu53VGbvXTqT4OjQyJExxLbS/lNllt/qCC33PMsu
Gf0uMbG+VHA9sFG8mjJxmOW9RTPeapncyMjRG/WZosU6N5fPCwtRKq0PkTjssaZH7JS2uDVOQ+Qa
p3mQzOqsX2jmsO5NdYYB1lfbBajgDNd80RTtoXQ4BNJJWvhLP5IOUzxd0PaYeiH6cEgrh8mA3hIw
uB70/aCPRxqCTEpRznxj8DDn6xdtgriPFoQnVgANGZbjxOmtZQewPckTvpBPtdC/7BshjUXnpTmk
KGAallqzIalmfuB8SULRXSn9kzaHRzQWgYP3uNmgBY3vBKAL2ne3FQBwGTm5obeARYEx0PLhlKHQ
YVdqZKgqgDdwRHy3+O1JlD5VeYus3XnY27Mq1D/KgZdMnAEeZWRB9TXSuR6xC2WYpgVYQbp78gej
ce8LU7hztclh7Xj2tLLaleJZ/VQqQPVryYUr4wPj0x4KA5TIbIhYvt6cdlZ63KM3NUkiwLSefYP+
06Q27VXDNL8c5CW0bGiz7WdZzQ9dzDFMSpJ5FMbEvz6VJrmZXWkNctjBWCIK6AHoDFfAHSd50J65
5vixAIRXqPWlqzZHZdHCZDZAqjrDjP7nwjTLuYZ8IwDOdob4+EgU1haOUR/L6biwkQWaOgNtwVz+
FruVOqnV5qsW2PG0A91zqFjehcI8Mve8S2W0T3AhaKcj8moLc+yOZDNivIK0YJR74TyRAudQ84wG
6GN/ocUSQt/DBY4Q3wHULdIkn1VmPa9KW1oEQZFOO6k+H+r8orbs6z5o/GliGHDvE8OBL6jGXyIQ
yTMvb7+HVXOMAtenuElxK8pOfAfAWlMGV9jWzFQQ+4aHd16j5Gd+3y+KcLyOFHWcGG30iQg8r1Lj
spTcDJlD50Yyy8990R9T0eaTqkmsqZbb01rxj+mzI3VunHug/PVa+CjpwyFGiiBRUBdA4REEXvQJ
NGEXzRQpVRbSWHdTu7fnsRwcqgYgjbxLxlmf+Xd6qzWzoc160cFeO+N4rpSJRo/b8maeqix6XLIm
rlZ8t2pgHU4dnTLUI1zCfJn5WfA5C9WLLFGvICcwsMx01F+qW8YWM0gn+MsM55XZH44q8au0lAaK
QHrdD9KnvM8+xgGeLV2qzfIY+yIbHlMboV6ojzZsCKAycRM2l2WNZrMRW+FKF1KDJu5WjO4U5u4P
fbdflkvqyxxW1G8mgEsACKhSaPCpXiX7VQERbHA051z5kEy+GIv2ophiwzN11h+vqlPUr+YZDeng
xFh2M3+VLfwjw1uFp/5yk9e9d4a7vM/OwFRULzPavU5wqa5+k+AG9+W2kZzobv1IcOEm0KPDLpiU
9RVgTzmggadCCVYM2mLPR3LOgYXwKymnaMjBF+aCTwmuc0DDDwadBWNL3WTMT2n+xUPiSoXw6wfo
LT4EKJnIv5kLMiuj+/cywR01P/HVLJDPgQ7SE0pGtPmUr5l3h0DBiDrJpESbAGXIBs01Rz3pcv6+
VK1zEyWDBlKsibJBjMIBahdTwNb9sor8L2lpLEGHXWmpzaEA/bWybnC1BYeFasKIekJtWAjkVQRS
1WuucXj4SCuogDgrx9MCUccZ0nA3LnoMGNocGwBjyVDWI2g9Bd0GVZeKaYKSg89J4ghph2gMVhW8
wkmI6gNnxqoTMhB6VF9AOrsJ8agc0Ylw0IugasASAwUJqUs/M4P8FCkJ/gNoTJSOtBjRnAgcWFnc
2TJ30CrpHNTngtpEEdoGCYJmRY12Bch3Gw0RfWmhalFWAOwGdC6KDqvMHPnSw1GIYCCgehzKMUCC
TlqhG6vTCyzdVSMNy0zvD9WNloZ51eXNFflreR2jthEL2Q2TQbyHDodM0o2xDHmE3J8i7WhAYLak
uYF6R92CD+jR89DR9QApyQmF0seg3FXgnz30PwbbwG5MZ6gy2gz+hUhIjEkcOnf3mkVrlEnxtSkE
RTqZI0piOlgLsZFByI7I/bAK0SGx7W6eo0vSVKyZJ6RKugfZEiSI0TDBmwcKu2uF2bI2oPEd11kw
4P+Zy/VhZqPbXVsckopaw8UuMrm05uqGbVFtmBdxW3QcN4Zaz8wNN6Pf8DQSNStxfyA/9nDPAojh
nCZNUczxC7xNBd8Dy0J1punMpFTBBgEDPeugh4Cyw74rKr7TjTQnwPNmg+CSWIJV4hnRlTXmw7Gl
WWeSr3IgIY8NTcecZJL/Je71m1SwVNq+/ZAL3gryJcFML4y7EEqLOvT3Yw2xq4Xs4pk6jwL0F1nw
YKJKPS4FMwZQojbXIcv0G9aME610v7yxI6NeaJIeo/hl3ww1J0eum6FATN9RAgHFQJOQJ6d2cAOA
pSMLvk7s4fpwE7fYv3pHKBLe6XB7DDg+Kl5/RjQeY5CwDLP8stVCHwGX/jrXg5w82FvG8IWQ8EII
UTY/uzkZsMHf2Er32RuLywCu0aBLFXXLTWoYFc7IUnYsWdYYzLgUhawV4Q/iSyAm44kk+RUyAD2Z
QIdQTehjeyG8hiPfF+XG2YgJMb4s301HL1FWaWnpF0NU3v73XNlgDwX24TfnCq2A+3JL44Tf+nGu
QGxTdIW2g2bgbCTGFD8GSoj508lwkKxQaHCJnsZT44TDAwU3aGg0Bx+o3D/OFRyRcMalU88MSgyi
/qhxQn/kRQNPZCa0cxCL44iSaXXIrzKTVk3VupCc4ZwTrlrIUpzOK13GzifSbLcgroW9MSlaA8FX
w8WhuOuaDwS8JW7IEDnLkfPGl42TXliWtyEORw2iNmJSNo0HrVqoCqgCaMPZCmRhfqnqTEVNvZaO
AfsZMC2yL46w85Xw9U0xIWRQPV4mAS1lV5j/SnkbTzTPOh8RQJ6mwiLYyzELDrKOI8YGb9wEXgq/
Qb2MhLlwm0BnTWBryyXGw5KwIDaEGTHkqtRGowGL4gCvYubz911UfMgImrkwMy5lUzoMhcGx56BW
PwrTY7mhN6KqVw7V4MSlzIbE3810nJIrYfznds4pw5RJIcyU8Ye6lHFXTpr8mtPrGFbgVxlgXyhs
mIOxU6cpzsy6AdJR9CrG3L4bhXkzFLViaqstotUYO8PULqZSU6O3Y8JcApIYCRtoAz9olwTekopT
zGu/hIFAxQnraLTkMS4xhm9joJ5xaPEHO78KUKsiRmmFfVFpNqcY5CBKF3yUacmAIiygQdsgMsoc
3AmmJrLTgT+pjxtR4ZXj/WjbZMVWi84qGByrtITP1IDseVMJh/gQXWeb8YnjUQR3qv4ZDffTRoKF
WOj5vO1VY1YN965lzlUVG3XV9daoKn5vLCbkVmSks1ofs4Ui17hlxYx0ysGcWGYhr7B+vfTLcW0X
MCyVGkVqP87MaamDPkrN7LBV609hmF02ciIT+8DICyeisWBGmZRTX0uXjWJe9p33uU5zZ1In1bFX
1vGslRBhsU0eV7uC1h9EHoa5AwZEVpySdycVYyaPPkdQOJ9yl9Z/4hXTosLevrM54woEdzk313AS
vGndZmur10o66QhlV5I7rtyajgp00Wiee0h7Jmoj02sb81mvM8CCfvPBci2eKVwsV2qSnNbgw6dN
GjkTF914WorQ7KB74GnVXZqKj0uO5k7SPrHnYC1PElNdmbaN3pbnnPdpVQHVVxlx+Qoy6ZClzVwB
XdCBWkWr+zzrpcMyg9EAg+OWCudzmGjw87qLUG9gf3nJPUHqrFQp88vOPms7Q54z1kNYoMI4yhmq
Cy3X7vDToCjM/ZUWD9+60Dnr1fQDss0hpel4EyOPNqkkw6PBEoaL3AMgVrvmTZUV0NN9/OzD6D4c
QTcNqrscmw7H2lgyJ5UumgZe8CHzvY5NHcRzKY8+p6gkK6WPFE2rr0s5/JqadLLwRYAsh1eZcP88
bTL7U1hKKNO3R7aTyGQ+xtz08yMXpuO0yXD1As82CR3ppi5QQQ+zk6xM4kln4WuDfMyXeoTrEXma
s2pzy5lVCUPcTuHBw+5WP1ejzJZmhYC7/v9yLD5WhFsHCj/qDvHTjUrxx+zN1OEf/aOnAmb7hf5o
QmFwLr04aDcfbDMj+e114jWTjuaOGQg8cQV9SBkuOLoB4vWvv+Bheo8/lrC0PFAhkKP0q3J6Uuw9
/zK338Lb8cyv1usdl+Lxg/0cCf3xUmj2AcMaMJU29ejLNZApWDflI8pW+7IGzxMoCGGvU65/cvvc
5o8HAWNIFdkwPIoe7lGs54tFEHaTCtU0adnTg8Kj92zL/N++5H/ysPz2WX49fxNDtt32BEsBLMmw
INE83Cmz0xdLIYSGUDcDBc5P9nIRREK64yJsmDpCd8L65SLAqmSuqeztIrye3/6TPcEc+NmmoGyg
dWWojw/C2+hIZHAQj35AAe1rdBQC1Ds/DxjRIpMO1/FxLVjc15sCxSsCKCu4l3vCeI89AVkAHoHY
Xi9vXuGEYF4Pln5P716ooe0cEai6VbgUEKrFS2yVF6mCfGDaKD9SaO/pIgiAw26LgHU4PsyIWivm
Q1jkVl8vAu1uYNXKw3vt3wEp75w0kinRuIc3yG1uXq8PSHIFgPto0VukUnsZDOSHD7ZLuugcqOJh
ZxV+sR1QKmQyT4/wIfDs4ZPwEKp3WwSQrzSTf/UkoEQv1GgRidnbwPgQrHZYBGICOkVUCAhGbF5v
jkadRwWhrY3zw15uhzfSxH+eKmlkQiRCaID9IiaQQBiaDOtkb5+Eh0R2hydBM2kzK7CVlF9U0yIw
2uiP2sq+xoQ3vfs/fxKcA/rydMefWgqvTwdiAh19HFeE3c5ebgchIbNbnqAJnw00ZVGTfJ0gqAeM
KIQCwr4mytrDBt1lHyA5bsvgW8XERby44ossCSFzqH0yBjIPK71/Z6NAuu/2CNBaQ3CYx/ztI6Af
UChoCGQ8Hhh7ug2U3QtoHRAI9jRQWX9xKtgHKMXTdxMqTQ8Pyl5GBGX3PaFyQKowaqEsb17UBy/3
hHEARY2zgx6keO3rMflY2OwSHgx2/yZpfIwPb8IDVkQkUxwjD0/gHoaH3VNnk4YKQuEyDYWH1+vn
AUcHqM/Mqfa1wSbc3naLkVSSNgwE8sbHrvPrTUGuwAKxZdQfi7Sf8WH3etI84HGng/YUKlncl/GB
Bjw/I63a103xhk/857kjQv0Yl8GXeTwZXy8CrXcgF6hsPJoJ7GFk2L3NSPTjkbdk8Iqb15tGm3qA
3qEChHJfE2h990abjKILWo8oPv5yETRbkTFb2NdFUB4+2A4HJSmkTpMNT4mHNRBN3BcxQaXlKphi
zKL2NIfUds8hGccxjNMF1mrzerMIuB3iN8Qx+tCJ29vE6T36C3TgqRyZTW5erxMnngdsRlF1f5yC
7l94FDT5HXMGTLCwH7YAl29fBJosoAMtsOfo5ovXnm6Nx5boDvGBLoMiskfLeqwp3jwPSFwhS6Fp
zt7Gh92PSworaCIGxdWr6EiXQeEE2Xie7fWDsHsxQT9FxiAdY4HNjQpgwuuDQoBmKbNREOG1rzFS
uC/vHB4cW0XujTnd062+XgoNCq6CPOm+BobdiwnaKkzffjwOYvu/WARipArNxiFE7ukivBEM/PNi
grGLzQQOUfDtm0IsAnLjMoKve7oIAvi+43YwD1BT30gcPmyHLdkTwkhk2nsL3BCsrR0XgYwA2zRw
PI9zmdfbgbyJJJqxvravc5nHKmeXZIGYgEYlrIpfNCA3Kl4C3GLv62TicZK+wyKIWS2ERIrGJ0jX
q8DIIphAGwzS6H2NCbtXVMQ97AuIjI9lxJaYIOPywVB/X2vrN/Lmf346YBuBBSrF0mOV8CYmCKiP
+B+davHa15RJf/hgO2wKAK9iBEO76VfZo3JAR07hgdjX8Kg97NZdFoF+PBxmwTl7yBbetB55HmQk
sMHC72lkMHZuOG0KSoUZFInh5vWm9Qieh7ajTb6wp4sgTKl3zBYYz5I2UjY+9l9fh0fqSgoMmcHF
vq7B7p0mg9xZNTkEaMeL15vOAp1HpncAu/Z1EYQR4c4PAj1HgfP/NZzHdLA8RIr7IWbs6/Pw8B3t
Eh03TTeLM+IxOr45LeEJQcblvNzXc/IRb7PLIjCi02RBhPpFa2FTUIqT8rGNsX/tV333VpMp2DGK
Lj8hoN+0msC90lpgkfb1nBQyITtGBuBdJhqUcMUewuPrI4KCkh8SO4TI3kP45B338HnYPWUQrSYG
+KLF8HSrL1pNVFS4IbAOe5s3vRF6/L8UE2i8mZTXj3nTm+dh06Q2dSYXe3pGCCf5HTcFqt06+pSG
+au5NWAOWcC9hJbyXm4H4XSw2yII1B84DuYRjynBloNS9FhIGf7goPwHgeMH93jqB/Hdhpoc3FfP
9FL/9h88sXHfXuCZyOmGavriXwox1YdrP1AxxZ//81JbdRP4nv30KRBu3unx9x9v8e2bv3izp/t6
+ssVIlXr8tYfNj8YHj+o0OH697/+J+b/7tbPibJ0vjQxMHv6u+1CsD+egN9fPQ/S+6cLHd79+1/i
4iLaP/3dLhdP1ndZ+XShZxfnmfm5jm8lbP/RJ58IAZan6zy7NqnBzteeruN1y1dSPV3r2fWJibtf
P4ub6s1XyqoTVt/h4mldrv+aZlW97S3ofez8FrP7+K+zrNy6/hzFO19/Hv81y0oenqdrPVt/ItHO
11+U99U2F1cxQdn54sv4Pk2frvPsg7/Hdl01ybcsvqvfXl4gvXf+6IdJfl8G6/jpUj8/vUAO7355
nNieLvPs0u+xY4/vyy1rLkC+O3/q4yD1tgQC5T326sk62hLDBK1m5499sq6q+21r8h4b9CSr/vqf
1LuP77etzHts0dP1HQH4aR2ePS3vsUVP12WwbWneY4uKa+fZtuguQEM7f62n9+lddhtsi14CifMO
1y9v7++eLvRz3dX32KWnGZ99y7XfY5ueomS/5dLvsUu5NFpv98OWy7/HTj1b51sedDEq3fnbPLtv
129zR0zG32OLnmOr5G0JXwLBtPMnv4jXt9v09USj9h0u3iTbkjsxo9/54lcBqWMV3G1ZGcFJ2/n6
H/7O9XhjALFD2i4ssyb3abDVVvk9turDG5TpurzbGsjE8OMdlin9axbce1uCgoBHvMv1/85Y7D2+
iaNsXTTbTiuBSX6Xuzhpguqv829BlW9bq/fYzOILP13X99uu/x77mevX678m6/LbelvOIGYo77FS
vMc03v4O77OxxV1My2Z8+rg/j1/R8d79Fvz11ppQ8Bx2v/jvhLZ33ghBFQVD1jx9zmcL8y57OYvX
27IH0evdfWF+Z7Gz88LUa3SH43VTPX3SZ0vzLlv3dzq3u376j/f+epv7kFAE3HndP5Lj44T0dKWf
6yLao7tfvSESbDnixXzuHS5OgyjZ1pcTI7mdL/97n+pdv9SbLN4S54Vu1c4f/Kb5tiVTFoCRv7n0
trbsj0HW22btk5zftl972YsW/+I2vl+X//lfAAAA//8=</cx:binary>
              </cx:geoCache>
            </cx:geography>
          </cx:layoutPr>
          <cx:valueColors>
            <cx:minColor>
              <a:schemeClr val="accent4">
                <a:lumMod val="40000"/>
                <a:lumOff val="60000"/>
              </a:schemeClr>
            </cx:minColor>
            <cx:maxColor>
              <a:schemeClr val="accent5">
                <a:lumMod val="60000"/>
                <a:lumOff val="40000"/>
              </a:schemeClr>
            </cx:maxColor>
          </cx:valueColors>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_xlchart.v5.9</cx:f>
        <cx:nf>_xlchart.v5.8</cx:nf>
      </cx:numDim>
    </cx:data>
  </cx:chartData>
  <cx:chart>
    <cx:plotArea>
      <cx:plotAreaRegion>
        <cx:plotSurface>
          <cx:spPr>
            <a:ln>
              <a:noFill/>
            </a:ln>
          </cx:spPr>
        </cx:plotSurface>
        <cx:series layoutId="regionMap" uniqueId="{32B4EADD-3680-4B03-9D35-87870EB0F55F}">
          <cx:tx>
            <cx:txData>
              <cx:f>_xlchart.v5.7</cx:f>
              <cx:v>Sum of Amount</cx:v>
            </cx:txData>
          </cx:tx>
          <cx:spPr>
            <a:ln>
              <a:solidFill>
                <a:schemeClr val="tx1"/>
              </a:solidFill>
            </a:ln>
          </cx:spPr>
          <cx:dataId val="0"/>
          <cx:layoutPr>
            <cx:geography cultureLanguage="en-US" cultureRegion="IN" attribution="Powered by Bing">
              <cx:geoCache provider="{E9337A44-BEBE-4D9F-B70C-5C5E7DAFC167}">
                <cx:binary>7H1pj9u4svZfCfL5VY8oUlwOzhxgKHnpfc36RXC6HYnaqH379bfcneTEsnuuGhh/eI3rDJBJ28Uu
6yGLTy0s/vux+9djvF4V77okTst/PXZ/vg+qKvvXH3+Uj8E6WZUniXosdKm/VyePOvlDf/+uHtd/
PBWrVqX+H5aJyB+Pwaqo1t37//wbRvPX+kI/riql09t6XfR367KOq/Jv3tv71rvVU6JSV5VVoR4r
9Od7ZxWr77pI1er99nvWn+/vdaqT1TtH12nVv3+3TitV9Q99tv7z/dYw1vt3f4x/245m72JQvqqf
QBjzE4IFFcxi5vMLv38X69T/8baBLOuEIZsSwsnPX3u1SkByukbP+qyenop1WcIXe/57R37rW8Cz
+Ot/fQaPm2exefo+APHn+w+pqtZP7+6rVbUu379TpX5+WEXv6M0X/XD//GT+2MbvP/8e/QCe1egn
v0E8frD/21vbKP4vCDs6rstDICxOLFNYmCL7BWGYImOETZNjKoi9jfB0jfYjPJKfgPBI4sgQnsMC
SPUB1jA9YRhR20ZIvLxGCCNxwrgNf9AI4eka7Ud4JD8B4ZHEkSH8Vwym8ekQi5idcJNwi1P8gjAb
QQxm2mIWYRRW98vm8GKl36DRfojHA0zAeCxydCBnKl0fYBnzEyqwDXaavGDMRxhvljG8bJuNtuK/
4qkavYbxlvwkiLckjgzh+9VjAQs5rQ5hrPmJzQBnws1XVjI6IWLzB5Pn/RptL+i36bYf7z1jTMB8
j9SR4e6u43dXGoj+P7+4CTphNmHMQvwV2AnQNILBgI8s+JuU2o/37hAT4N4VOjK0b+IanL9/Hmos
TgSmzLbwDzq2s1ebJ4JwYYOx317b0zXaj/NIfgLII4kjQ/hy9bQuVgdAmJ4IamHbYj9cKrDR2y6V
eWJSMPEEiW2Ep2u0H+GR/ASERxJHhvD5ukgPgK99ghlsvzahLy7zGF9gYiYYcoQtWNu/0+2p+uxH
d0t6ArZbnz8yZP9KVk+6OAC2/ASDm2Ram3jWeNHC/mwJbIp9xGu6QvvBHclPgHckcWQAQ7Rz1YB5
PsQOzE8QGGhksR9BzZ2Ql3lCgX9bmNDt9fsmpfbjvDvEBKh3hY4MbVlXh6DVwLVsBDCCqd7vM1vo
xAYzjpA18qMmK7Qf5W3xCQhvCxwZuperQh1iH2YnghEbWNaPqNc4IgJRLxsjTpmAd37fhycrtB/d
bfEJ6G4LHBm6joY8y4ZGl9UhyDR/5lICY/bKErZOEHBpm6ERyG/Vaz/We0eZAPleuSNDfha/c3UB
ROwgPIxZgoKX/IK6AE9ph44JgQD4FxI+st9vUm0/8rtDTIB9V+jIMH8AUw655X8ecWJCmgpcZmbT
V0JgFsRFTBtBqnLbmr9Bpf1IjweYgPNY5MhQXsTr9BA7NvAxCyAUFhDr7eUMVlxwxCBqsg3uZE32
Q7stPgHYbYEjg/ViFR0geA0sG0LTiJngGz+/dvwpWLnIRpSzkT81VZ/92G5JT4B26/NHhuyyTr7p
+Kk6jF3mFBGyu2bJCaIIm5B3frHY2yv3LSrtB3hnhAkg78gcGdDnUHR2iJgIPYHNF0oEiP2DcI0M
NMQ0KbwHjvI4pjlVof0Yb3+fCQBvCxwZuqdJti7UKv7nlzGGQj1hcRsM9YuRHlfyIfvEhiIhG0H0
c/Makay3aLYf6Z0RJoC9I3NseKf9IZwnCuVAFjAt9iPsNXae0CYCKijlfOQzn07U5xWEf5eegu7v
nz8yZO8URK9L9XQIvoVPBDdtjH+knzZLdYtMIwYJKmaCqR7lF9+k1H6Md4eYAPSu0JGhfbEqy/UB
HCZwigkUfHFhvRhtc2y1LUhVwNsEgpzb7Gu6RvtxHslPAHkkcWQIP9TxqjjEYgbihU0E+L6kFXcX
MxRoCzDUyAbsfw9iT9doP8Ij+QkIjySODOH7VfpOQsHAqnhSB6nDBncJCukRB7yfX+O1DGbbggiX
GFvttyu2H/BXxpkA/CuSRzYBLnT57q/UX8frQzhY5MS0LQvznw7WOFkFnMwiGIoPIJCyeY349xuV
2z8D9g0yAf59YkeG/f0mAX2IehIB2SnLgmKDH9V+Y9ghA00tG8IrYhQbm67RfqxH8hNgHkkcGcKb
HGymD3KEip1ALR+kLvgPlrbDx6HkkxLG4RDdvkDZWzTbj/XOCBPQ3pE5NrzX6ZN+PMxODot641kz
9iOWMgbcwlCtzSjGYsTKL9+i1CtY7wwxBewdoSND+16ti4PU8kLGipoYQtwvxy32OWDwpskpfyn2
HW3b0/Xaj/ZIfgLUI4ljw3mVbqpMwBc7RK0JxE2AgEEa60dCY89mvfHEiD0+CwsE+S1qvYL1nkGm
AL5H7PhQf+eqtX+IWOnzAXZmQ2x8N4qGKObgr/1IiWy73xufaLJOrwI+GmIa3COhIwP7Jl49HoSK
8xMOvjWUDP2ItIz9b6DiEDGH/Ij1KwX2e7xlul770R7JT4B6JHFkOF+ui0foyOD84z0rwIqbVFDY
kl9wHC9siJkSjgQ42nuPUE7Xaz/OI/kJOI8kjg1nDTz8n4cZjkwSYcIxOfSjXmynpMg8sYkFld9o
FDi9nKrQK/huiU+Bd0vg6NA9SKwUgmFwkP3XEt74UdspLoiKWxzsuTlKcV1CJ5wpk+01bH+TngTt
b58/PmQhJLY+QKknpieUUcaw+VpXIQiKQVMhisf9KgDdyTq9ivD2CNNQ3pY5MqSvVtkhvClYw9A4
ikDo8zmgves6Q1MSSF2aEDfbptZT9dmP8Jb0BHS3Pn9kyL74pXJVfDuMw0xOiAWxD2DVvyjz2ExT
wTGBou2XD2wD/Wb19iO+f5gJ0O8XPLI5cLVuVgdpOgRbMLUYx+aPY+77/CkEbcN2UhvTNdqP90h+
AtAjiSND+LpYQdpyCut5Y/c/DDWD4C9z+srxSchYcxsORNNxtnK6RvsRHslPQHgkcWQI3+t49RvT
fAlL/DP9HTfJR77hYs+vnUyGBbX9AmLb46PQ0zXaj/BIfgLCI4ljQ/i5+gSOVk3yXt64jqEe1Aac
oSfJ/m0aIl/EtEyo8h8nod+k1StI744xBe1dqSNEfA6W+1GVj/onL/on1jSDdo6mySBT8Qra1oa1
IZvjke8MdOjdL42mbCevA747zETMdwWPEPaLWpXvrr+pMjvEarfBrbIoMC+YBZvXjk2HmlEoHYam
B3vwf6Nqr8+AfQNNnAP7RI9wFpzpVV4fqjECnKMlFizz59ceZm4JOOsjxP6kNdiBNyj3+hwYDzIR
/7HYEWJ/CW2oD7H2n0uRGKSwf+z047jpphGsBRlsQcaFCoD5ZKVeR3x7iIl4bwsdG9qqjFSv6yn7
6dto3aZpJIZt3PrZ9RfM+Vb0BcCm0DHWhmZzP/nFj+bsb9DpFazHI0yBeixzbEi/FGIU9fDPYw0h
c+h1g4j5M9u1k9QERw0SInCMYJfCb0pTJmr1Ctq732wK3rtSx4Z4sDpI0xs49gNdnKH4BL/Wocw6
gcoUk8PaH63syRq9gvS2/BSUtyWODeFqlaoyXtWHOBLA4OyWCS0v6Gt9E6AgxdwcCmCw2n8vRYFb
LN6g1StI744xBe1dqSND/GEdrA5xlQqsaThaTeEQyCu5kg01g0wJdKN7Ye0jgjZdr/14j+QnYD2S
ODaca7hRJTlIp37oS8fhJBf4Vy/u1x4HHCqKEeLWiJc9vEGnV1AejzAF57HMkSH9EUxnfZB6YWjK
DqXf2HytNx00zYCGscik5siAv0Gl/TiPB5gA81jkyFD+ouNDONRw6waDNgpQpTB2rsD7YnBaD1rg
bG/OUxXZD+yW9ARUtz5/bJDW3w5Rl7I5vYOg0QkUjz2/dtpVQVNYaFXFgYCPkJ2ozyvI/i49Bdnf
P///AbJ/r+LWF97cdfbXz2e7J+Xx1lvq4OA0dPGlUIWyf8PdNC9CcIcd4L6vDAXaK/+6We/V1OrL
5X4799T9Lrv1HV++4t8/lMPcQvf6DXW/rvpzV9Vq9nxJ4G+X1P39u8+TGu42HIn+8Ev2gPirqOv0
6c/3UAKGbehZ8huym4G2vJqf7OfnxNiWW4Or/ed7Ay4x23Tvhtpt6OC9OXEJQ7brl7c2zTCg4S8Y
bAta8wsMm24K97UEP+4xxJhDowUq4CMWWPNS189vgRcGP2CQLNvEVoCd/7rG8UbHva/TX8/lx7/f
pXVyo1ValX++h45J799lL5/b6Ls5BQZV5VC5CNkVQjDcAgDvP67uNl2y4DH8P9TYRWLoJLke7OAM
IyRJo23ZRak7pKGeN1D3KEMvviRZHM1tTJZmjRYqq66D2jhN49AVrXWbIsOpMTpry2wV1eSLV8ZO
lFaX3YAufEGWQ0ALGRm6dwLmfyn7+LbxvGhGk2QlTEodEvS59OI6cwbUxudJH1syjoJS8qRKP2kc
nNe15hcpTm54EMVSaGHKgRlOIaJv1LDn2EM3Qaevs8IOZSbCzy1qqNQpveZ2XrtWHTEZoVZd11Q/
Ua1DaXdB5QwBo45qInRq9/yiqtgp9pIH3HfrngyXJRHfYq98aPtGu2HsLzStz6k9YKkbem1rdhZX
sS9FYH/AhuEOuvraBnReNkUjC2TkshX8hojiPE70ddhGV2EbzjMDeU5tt8oJWWxIVBifRFJkUg+Z
a9rhRVAMnRyy/hyLqDpN7TiXSTSgeUBFMjdC8bVjyY3d1Bek5voqy29NjedJpGY9Q9dwbmhe4+6u
R43swlBJXKAVRoGjYuNzQ7xP4ODPaV3XUjStvcRx8k319YfMMLGbDHUkURde9Q08ujyqb83O69wy
osnHnJzSvuSVrLivJc5Zc+WbfO61XiYTm7ZOXzf3QR/O4P/VXNEydqs8/ViDGl4+DE6kjE6SVi9s
ZcKz4cjRZn+eN4BDGBpMhiaPXd1zU/Y9vlNcn7et90TyLJSK0gei6Z1hMewYFb0QifZkbbPACbI8
lqoI7gzbO7XDilzYugpkl4cP3Esfuanc1EtukyB6CtPioy/MWsLh9tbx4UstMw+1jjA8Lj3d+Q7c
pTDHpOqkYp4TaxXNM1W7g0iW9hAtTNIsIwvHs7Tu+plV1mtu25lLaN44Jss+a53MBMrii8CGp53H
pXJ8PbQy7VApcVl00uAMyaHrtYRUaHY59MWHfIjuvKzmDjHDQmplIKk6zt2kTmsZF/rc1F18gZJo
XvPys6LsAg763aWNVg5TInEMNAyLJA1rmXpFOxd9CjMTW1+zNL/nDQBvt77b28OVWXtPXmMgFzf2
ncj4Xd16yxanhUSed8oig0sbJr2E+vZ5N/DYKVBKpOVHpczaopVhXjSOMfQrHw+lY5eG78TwRGVl
FGdVY7hmRGeoZ5lEcaKuofxqoQYrmfXRnRFKFHhENv6wMqJ+VTX0we+ahyhGbt3xm8iyIqf1B+K0
Fg4lVsbHnhuprGI2C4ZqHvQNPVMqb2WGKhtgb3yZGv0KcO3PSGnPdJYRGYHn6loGWVtdeRmbxmVn
VulM8T6dmf2w0oNa9lllO5omPcClMtm3jMm+0LW08vY+Ya128rJCC8/yhQO3j4I+TZy6bQ0zEH7+
3Yq7XvZ27MmIKCZ5bNzltbkuE5gShCbqTDP2ISvyqzIOGmkhss4y85oZ7bwMOyoNKyaztGXWnKJw
HphDceEhc9GlBNCGJ36ep/CloxRmU12lX0gS67k2wAb7igunaQoiwfQvPUK7pUb9KqdKLwSYRhKp
eY5rwwkCcjlUwXUZ40TazORur/B9Gyat9Im+yUtzERbkIRvAVmp0j/zccvTAC2lqtvL97CyjwZkF
X85tlUmlbdYfDDogxwtVPovDJpSFDZM6Kr0vDR2+FFV+F5TEX/qxscxCVM8SMHCSVPV9xlHiFhHg
iw3tcly0Tsu8VPpJ8S0sYjAVmaMDcQ2GbuHnQSItUj70XvsxsqpPRc6xG0f1JyIGc4msFrkQcgzO
hzJsXMUD2+mDOJHaz3sZI3xalOF9SvFiyGrtehH60kadKUUczu1YhA4XkSVxRqUorI8NvW3Ls8H7
3KpzEuDbNMwltOv+GBrJB4UTgCatFjTVVxb0ZXCyGJVLM6RrBIZ+hjpx0ygKS5sY3tKw+1gyOqhZ
zFQtFSGuFu1FmcV3jbCWrIvB/Kp+NvToPrXpeaD7QSq//sSqPpRmXp3l1VVDe1nZtZI+829Ij5Ub
a6EWVl6Ejl2oT6gfFnFchBepAeZ/MIpL0TNj3vR1NMdVF8oBYSzLjANaXjJrM//MFtxwSsqDQSLt
i1z2NbaWpNNrrpLgsk0rSTIfLDb7FOqkXRSVYkpW+dBfocBUTlACzqwf6NLn1Uwpz9Fgv868ahDX
CBf62hyMYemVFTltWHAVFwHnq5r0/WLoOgvsMc9nsHmEc5H788RGl1Zmn4I1OqMeTB3oSSGLyhhc
oyD4o2IZWIgm9yUpjWWQkytCSn+ZBuYa9+ba6/1vsOWEsg+6ZW8absKZa0UmfHXQscRIu1EXP3Yq
SqXtBwvLDC1ZeRjMg08/B13SLHpUhbM2D2Y5KrW0rGFOG0M54Eqd+/Cws2+VeYaIdxd5bGkYrXWl
CnaNs85zVJ0gJ4rND/D4YRdH8TrrwrPG8tk8y7vboqSLkJela2OWztPOjJy+MDNXwcWWEuXt57Tq
CqeL723SuzS2PyQiv+nzsJJ0iE5bQueFim8aWCey1N0cVdkD0+QRjOtNJdrUiQOYAormd8go5mDg
0KIlBWzZqLxKA0tJNqBlSitLijC5ZqLoZeQF9UyJqJ8VXQXzofVjN6BDIAtazpIuDmRGSSmVtlZD
aaUybtsFUyEYZ06vIOz4uSiyi47FzNGJMUOqc+yWf4GtZd601l2RN+ewcpfMoqbM2+BDNpSZE6r4
skWw1UboQnnVuRfrT3aGPrdeBHtEyj6VVnepO9Y4rRKGDA2USWH7H5PeTB1kxKeDOitIcdn5/jxr
rcitFb8N7Az2aIN+qLPmcugCaabqW0zsszxCMcDeXzQdr5d90VeztKOXCeKpQxMwhEawMG1F3dwm
y0hbF605nNcFxo5vD4VDB/opbJPkBnvm4PoVN6TRFpbbBGSQTS0ypyUWlnaS9k5WMjLjQ7EsiaXd
wgy/sRY4DO/qG5aVeCGKRi98UZYXSQ73dee4PY9DxsEoeYso9oyFSNoQOKdXweKyYz6QB1oZZ1Sx
ZEEDfSqAbWUyznBI5dAIquTvd31vkfxHnfWF8oMf17X/+ud/HnQC/z1f/v3fH25ue//vvxZrvcmu
l+MPbdyxX5/67wXiG/fn123iI6fq5cr4Vzyuv33zbe6Y+bfu2HMiZI8zBlI/nTEoHMXE2jjfGE6B
oE070V/OGIZL7uAiLeh7YwKVJHCf1g9nbNPU0IZcNYfKcrjrFNyx/zpjcIct5LkhMCOgGzEG/+kt
zhj0rt1yxsDhhKgA1L1uSiHhcmTKwCf93RlLYwjexqDGdSOCqHRDjD/4trkM09Q4q2N/hioyOLbR
9NJr6tOu7ZHUiQXkqxFnlR1RJ8MYzf2wf+CGzhd1mMQyRSqWwHxmYZ09+lYHLt5Q1Z23oFTXhouN
+mMJc/Suhx18QQvqXQSkp6dhx1yaW9jJWFNc2hapwc5awbxj6Fvlld9Nr66WWZteFVaIlEN1Gc1U
V4Pr0d2yJqS3eZbEjh+13DVj4LMFp4mMBbBGH5ab7EUmZAJa8S6ah35tLFHIvFmYbNhVrZ5QanW1
WzYe7E9p2Cxp6fnSzwZPVjjyweCl6NqzQi27OoWfBSJdMhQjoInd7aDiVBbMRPBbVCEHLLgsMM9d
gdvLmHnXoQ7OutRaVkWSw/DWqopxfk598GZ01diy8cI7bZdORPV5Y5gEzCgGi5zksNEFSMmiLma8
zgOnCKg3M7mxsYj3oiiWWWDyUzsfboo26l04ZfQJnKVHXeirHNkMvMLgDHH7xq68B79JQ9m2hdtE
4nuRkVOzFpd22ZauVRrUAQbOFlmsP4dtfEZT9aULq9LphfG983kANFHMVdx8tVOxzlKWnyISgEuZ
VlymFB5LE4ONwYEfXCjVgu+bl+qrleob3ocfI5Mlsk20lnFqdzODi3aW6HSQQ1l+ok35hdPO0WD8
ZpEP9Kb3VQB0KP+owSWdJ2YM4QFOfbc0uwcN0Mex1WDwok0wyQNqHBob2vFJfZOVQNVM1oazYqgf
SVZ9bsAVS/yUzD2MnjIvAi4MbvhZ6lnSMzie+ylr5rTDnjPkpQ+/3uoWtWkqaXokKaRCue1mBJ8a
tRALnyehg7mGhaD59z6kLonKbzhrAym8FjhbWMKmQsvvbZpR0LZPHFj7mZOlUTxXA5M08IRkhRBO
rmCNeJ2OZaODwfVQ7uC4whI8/4XfUOEGvLvGjbe07BTiDOk1jfipYah5bZ0mieu1lwLGLEl1n+Vt
5dCe3UQJ/cREcg2kPpYtDnvXC7tFhJBj5mpdptVnFgemq7sKXL8wE7MSdnJHi0rIKkznOsouLate
lEBOS78+jXL/okqyBDhx6Sirv7HiZklq4NysFTDbu+46ia3hjJvxl6BUVzbNUknNlp2GObuwRHKl
qmwRG7iSvOyB+0fRICmtlOsHiDuGj9RpHaoLq1bgcWZfYtQBO25L2I2R94Ew+1NdlNdWEpFFEGnh
diGijh0Q2y3SqpeBzyJp1NXCJ0kqBR06x+iTu5Z6nwYP9MuzupSDwmB6QM5P4k76VexmYXTqDcU6
TzGZWUOcyRz4swmusxP0NJICHqvTVMEny8O3VQvsDqu6nzVhSdyoKegyys3vEDk/J0pdqCBgsosT
DNM6d81EfRkofvA8wL3wNHPyCuItUYjubC6+IC9MpI/TW8voWokG/p2KelENRi/zlHvg4je3RVAv
vNR6aILy0mwMX7KMn0G8AUJVLLmN89TtmDLOgjb+oOwqdc2qO6M9nzV+DNS+s2wnzOPYoWkbzWJg
4e5gBpdD2hpA2HUHNDj+7g/eQ575WPbIiuDLBdmiC8KnIrOvfY1SafJ2cAnEJpwUQjfnrQ/8u+LZ
nLXMl0M+3PYYtzOjqTInEv59h9Wstoyl8LJzIZJmTrLizOZ2ALtA4Dt5nvQL3NLaiam25+BDf04K
c1755iovO7XorKB2eNtc0Tr5YNnNxcA0iFpqRhoyL0J/1mh+rrJiGZZetRxgEjntAATGJuYC4k+P
A8oubR9sdifwjIYb6l2sq1BdVl2+Gjp/xhSszrKvHehr8kXzFHw2Hsmu9WZeZC5ZBdbUr+akgUlg
gj3CsFMwFXPXjtLY6Xr2kNXqciD2OqrAUCpM9ayJ2RIWdyerQV0i3BayK8V1IQZ/YZH2YwzzFvx1
Ao5NWwROYxkSFtptYTeNpGzQC7P3V7B3FjOtgloaQa9nJvSyvubc4AsDLkZeFGXxWUXo3k7rGJxm
8QGx6ksYBZ4EB6iD+ABMjZhlCCwIOGoW/4Y93i0KUcxBv2/gQmiZcv1UegNELkPUuGmAh6s0Cm3X
y/Ib2PMuWwLvtVlwXgmIvFRN4eDM0DOR1E8ejTKwovkTDtLrMBSl4xle5FSNd4kyWkvi98EcAqKN
63cVkV5Yx5tVljset68CZsIqy1QqDQUhhdpf9jZ4RAzspOEFsjXS+14PwUIZ4deIZY92yxwcJMkC
wrML4BGAgdfcI+D1Tt7k7Gww2GlWBbAVpyRyYqBGjkJD71ADlddiIK7fJ98jM9IOT9rrjnlA2g3/
wsQqcUSVfYfYjj+DE1xfWm2gmZEnNoxEV1Fg2zLzjc9mXnu3BU8vwZqXwrskTbAIFLENJ64DfmpW
kcivdBzrgMpCmb4vIT7RDDMTiTy4+D8e/ZzW2FzU/cfvbH0rrbE5VfPcKGqXSj/f8P0zr0FPzE1J
3+aCJDi8g4Cq/qTScMzSFmBEMYeAA8WbTlU/8xr4BEgu8Gto9w4N/U0BLPtnXmNz+SHUjglhAgW3
kU3fQqXhSr0Rld6wcQsqEjGDuhboUbt5/7e8Bji3QRnAHn4JLm4SOHaUV37l1NSOzhKVtJnloGZg
EKknZmZ1bpD2w32tPdgOU/8C1yGDSZk6uMod38y/QqweoZsWlRA+CZs+y2XZpOI60dVw5uM6Vqd5
1VsPcGeJYZ+i0iwM2LuM6jrxsHcW9RS4kRXB3nOvmIjJ+eAPcfkoIFTRXhYYkha3QJYXDU3jtdfk
ytWpAlNTE16HCzPkCAIqXDV3Vd5XpyQGfiiHIYiGmWf29deBMIjcszwwz61aeOdFnofCSdM2mAWd
yJ0iL6pZbfbq3K56cuF5ECyTofAEVBGmgZAk99phwQiFOH0a1DeBZa/6Pv3KIv8xpCSZQb1B4mTU
XmdVsqZCo0o2SU6e2gqiKeDMW7nfnqaDac+ryKi/ttSnsrFMpZw2qhEE4dpQVqrin5ChMldErQdx
G9osS5xapwHYoQsjspJlhAp2xfK6Ox2yLF8Qu9FO0QwV5D9SCEjwDEL7UDYMqQvvEsDNXFpxB/iy
5/IqOee10I7tFeyyt+3hNCIQ9FCWiCURAcQ68kQW/maL7XkIV0PWqWRp5GZcrDkJjAVvhmWMxDUO
FV1AMLKSRplE0vcg8lqS7jMJiOdG7dBA2M9eaCQ6uCG1c6qgaK8i3FWOGQSdI2K7cws46jILjcy6
Nv0oujdaG9+llKbr0CTFWZKr9FPYkMKBqPZT2jfh+f9ZrWerZYKFed1qweOu1rsWayP0m/MPTU43
/R3MTYtjCqXIPy0W1DKakG0HX14wvGWxNmWQQCAh0wqV6tA4gsKhhZ8Wa1MtZcM1n9D6B0NrVTBm
P43qVpAGktB7MrH4OdP630ws2EXozwpRCQ7agc2CSMC2xWqyrrRTP8DXZUdMZ+ia07YnuYsgCgAO
aD6H1A640VX/iVkDdkufPIJTe1GJPnJt00vmYeeRRVUAh2i1KVMzvTRCs5Aclrvblc1VB8FAF9KR
2tG6/taL9Eug/FmfxHcRCRdpX51Z2LrLM0h5hHkP8cbMKsFjtS7SJIJt2mAfygjWWCwSoH6t92HQ
4ScIvTKpNdB92iXXto+vUUtnItdnLM5PI8iVng6NVzh1ZHGnCbqFD1bL4tl3kgWQhfLtsxSiZhDk
+sZVL0U5fOzKREswBxC3B4spwf6kLs48x+x07bAs+Nii+mvUNcQJomBp1TqVELArZBJgSEg1Veqo
DF9FSX4WRwQ8uKL4njcBkp2hId8b82sF2VZIOeXXod1kZ11SQXpNeb7LEh3JKCh8R5i+d1VSbbqB
qAfIhZLhO7ea6Koh7HFQ8HAzLwluLa83ZVAW66AyxWWo41NbGODIWlm/CNKSX5eqA+PJWkCtDiCI
4Fe+EyXgboR+GsgGPKiFajpf0qKxIUrP/FvTxwhyGaEvcx880iTdeDxtq6VKMPCmPg6XGHfxzFDK
WoRBPDh4IBLTzoYpoPUy8Tzkoq43FzEp1Ry2Nm9OWshRFUllLSqNk1mKwwuU5udDFYJvik6r3h9c
lfDv3gDxyJAlZGaUCrt9Delc5LF+EdV+PDPDgMODQP2MFblYVCGFjRDM8UKApyQTv4DstULqDpJc
fFFndjD7H/bOrDluHPvynwgRJLjilWTuUmq1vLwwJNkmuABcQAAEP/0curq6Xa7u+k9FzDx0zDx0
RXRYSmUmQeDec37nEpxhgyq+LAsDMQLabUAesMWGmVjxSccljuHtevE+rcicN86mmeurYUeE9rO2
betzpJQ9QHJ6dlTda+3JHSepg0Iz4NFyCmo2j6PMjSw8D0wFWeW7OnPr9hXVVH6xKmo+SF77mdrE
IbfJRHSBe91t0lGUooblm5xU43uHTU70MbXQa7kNrS4SKFDtJkV5myhlKkGO3tzsddTtylIyiCcx
jO9NzEIVIrI0hAdLGkhd0yZ6xZv8tUKIaqCHxVa0O/VDI+tod20xMeqIYuT7LNe32Td8Pw8+3F7W
Tbe1vwR5sMRFN40xDHdb3sQkMQeY2eEjhU5Xs36G2/pDveM/lLwamp7Fu0pW0mYlb1Bup3w8kNo9
+8T6+4VXce5BHZSbTGg3wZBBOey0ctmQQNUGwLCrN3mRhN6xht5oVDPnquLPYmzOSSPvbaJyQpJb
FX0pE3rRfWw+ubb7ZuP5ZgkJyeTkN0Vqtb3RKpFHxma49lON07P1bij+GkdfY0z4fYRPm/trd+tZ
aHOGJS9rim6nbtY0m5X4qhJVZaUQp75xDwgM3ugIbUPPTVBIkfaHtt6wBsOjAjb6kpkaHu6EH5eK
DnmigmjvHC6hP4o7Taqnbim/eL3+PITYHiD8mCJpp0tt/deljeOdaoMqN6qv9j6IFh/axNiG06Yt
0M1hgVipzK1K7UfUjF6RkPCeLZvKLxJ5gvmPn5y9JtNtZ/Jh7i+68Y5damQOzGLfeP14VzMII03X
eBlZWAFL6JtCL5dFpi5KTuPPbakFDGy53Eo6v/dhcpI6+tSVIjrVws+aaX1bfDNlul+O+NDdnlMA
DMJfiy5OrrzBLsN6klEYrC0jkPx6/0jG+OjsWDS0btDy2QewQTcoGIO8rLu3OWXHRAZXvxoOJBwP
leUFrimsKh//P3rlKWo2Vevvqk7uOyhZ6PfdaRYh3+mky0nYPpSiJDgLoCAE7sLn7kEwUvg1f+7a
asdjqLAavrkW9XNXo9ym4H5kqZJMOBiHKZyiDiWjQtPMaB5Q+Hxauk2cJe6gUqrS+1pA8qli+ejV
07T7/7XRj9oIENhf1Ebb6Hz559po+6V/1kYIaIUJHk6f4snk4QaV/as2gjGCRorGuOO22Wj4p9+7
uRQPYdyeoorkPgoh72djBJN2ttQuA0YX4yGN+Ke/URvRbQTmT5TaVhulKMFiRMS3d4EX/GNtlKJj
jGPirXeB4C8jtNm8Q4uSyWFEgbSKfTrGB9/2wLhIbhb2InpXZZ6G5iZY/Nyk4W3QzyfRNLvRpKUq
kkRItqu5HT7Adfd3PfUeKiKn02zrihXg2sgb7eCtQDgLDL8kpRHoQaRXZnGXNEcFUWsndANISg5B
0ev4ybZooFLj7lgEH2KRQTHwtc3GpX92jrz0kfwQ9JHOPOicuTfZU0zcHa/TM54yXDiu3ieAZdC5
AGw03uPQ0Hu4+S/UKFnwOYC4NLe3ZpjaXJfyu5vWJuPU35dhUhV0EsEuosvdDNxr7JqliEygC9fz
r6MVazF7pcrZku4qb7b50HN/32LgIewOErqTXXrwI7a6+Br+d1vl2gdwoZPc83mSG8HB9VBzmczw
kXvsMwmTHoJa8ND2ajdH4qWt1zWbmvXDDAjJaH+4+iUMhaH/jqkehZnqRwY3NzOBuBkqcfKFe2mV
vpDefPemyBUecQmYm0BDIIYoR0g7Z0HXHkdFBohRMZTknhYlNr88Gnh6R93g8tWNLZRh22W8t/nM
pqboGxgFwnNkl0LczuUC0Sr2knfuqrMMfHeYS+zFavFzmdITi4Oj1tNd2U1o873a3fJxGge4JxA/
D3PU4QCLOnEK5ilXKoKC2Yos6KHEcgld1SvfWgBLbbeQLNRL0cjltYpRQeI18x4+F5R9m1kOlI4H
5NWbqgbNLCwFvw1yX7Fvrm3TW8gqZof9UO+p5vFNZwPANHJ64qoMr3QW/cWnFZCnhDXFOukjN8sK
wAMwUWeSIhXCP0hSz/sO6/8K//yAY+pERvXiRdHR0/TFmtnPK668YlbUvwYDbW4G2Q9ZBWZ1xyOx
wklscIYvTZgHYFtATfjedVgC+lDTPjnWrTmwcMChUp0F6B/QdfQ1DeKoaKWr7/CIdEB0Ubh3qdjr
WdkCVVgHekC+OdXvqak/9RXJcBS2u4rjejad6+7Q/KDuEoefNrV/00Fte8C/+qffSNYgivCIXxC1
eDj3L/3TECym7Qjz7zrxoQ2/RlFhxelv/wk8RiMOQg97JCYQ/eLPuqFaFBSC8A5Gk27v3fAs2f+T
quPPp02ELfunr/lPHPXPSPpvOPtGJv/2W7+fTz4eRrY9i8qLKbpt6Io/nU8Y6ghN0YP/gTMCyPw/
z6cQXb2/DeX1No6e/rD7f+/dN7URL4huO0VqecOe/8b55G+Q9L+WHo4n3C0UDwyPMZcMgMGvx9O8
Bv0war1cpQ3YztgSe2YfNEmbt4k1DyCU3blZjGx3ntfOn+c+NFiiChabYnL8+NO392/ugz9TBDgo
fwAJGBge4uD+BekOpRtaxrW50lH6V3TcaH100oNeW8zcs8zYUH9OzEDgZIsUCufYTPDUyxXgC9S6
RH5l8+zd4TU4MJau8z+sEUn9g4uj8pvviL/s//od01/FWnx/IUbsgnrY6oiUAtn4WawFUslxbd18
DZaoqop4WbsPBnPegv2cOODoxi3oMUDmpqC+463Pa73gIMzk/AI0zvyVL0r5eU2GqFBz3ZtsFhyk
cTJFKEurvuH3rWZnoRjH2Q+a40Xx8dJ2FvZ3Dbf9Fq6e+Z/2oz/BHCBDMDIYZAjQf4hKvyjQiSOV
JUMHaGsu2UtfYbPPwpZiaQygiO/tMrEnQMjdp7/+Mv+4DUKL9zcdKQkYxVrEf7a39ZPwHXlLFQ6q
kleZrv7Vb7m+SgW5MS35y1//Jej4f1j1219i2AUTPM4T6aT0l3U2yNCt48T7azp44eto+6k7lHPq
aNYOfAcrZ9MnPJf2eQMUWfxPi2ZbFD/fdPiU2IFBngTQyrA7/PLnwePUvJKihmbcRq+i0dFr223v
IVqF2sUT+Abn4dIfLFoZiu6uT77NHVMnyyCDL3EweXlgm74FiS/Fh2AaQBHz1LlvAzGQM8gqkjxi
fTgdoyBedfbX357/5wsFnAjbBigQUEcQ0f94obxYRzKKSnLr61K81tOM7tdH8YOWOEBxW50tr9u3
KmVA89aR7+M+XOqc+ib5PqN174HCVkke9o35Vk9B8tWgOkrOf/0mw+hPF/mHjwLuaau7cXdulflP
yyme0tqbUIDeNuE4lCwtZsbXwzIvAdvPRut8WkbvwQiH0pbDgc/Bjh8UnQAbhDBZ2m4Uj0MXiSVL
Olt9BJHcn5ya52yIxuFDrNq0KEeJSES/5RXqOWgsPEwlr3Yg6m4ka7CrKp+hm11LKXJqOIj8eO4e
aVPdV0Del6zTyXidy/F5poIERQxQM/NrR7E3hBq1qWfT5qbjUfq59HR45jH60BUUOsutx0MoDJ2r
TySdHKgYl66FbyOkOZrlfVDj/KQ9ksApFXOyL9WoT2FJ6fPIfdseyoSABoITU76hS4KXVMuRfNEi
EfBcFT1B7BlO/si6r7UZoBgNgWifalYuSWbGsDpP5aRzGLLDwQ8pu0OtvuxCO41730fnv+uixIdE
Yat0hG/Ny51QwVToAex0SSqv8P1+PuKoQQkmQSpn6Zx0nxbh8Qud2PAUBXN00KwhdK9isb6mcT/t
AO006960abUny+K9UtXZ76oahihf6Qx9QVbUVPtlbnrcHNbuXGV0up/6khdw08RR4kcBeIRTjy9a
mCRrFCIceQLiJkv6aFkBgXcljDMixWGKUfaF2nkPNvDDolaT1yHxEY4zOF7L1GEJkuUmbte1Kx+0
HWchMtSPTk5fOTQSun5WliDwAqJnwlbev1NQajOEXj1rPXjXuZ1Fu5xZPa4Hw/RcnsRUA+9v0Ls9
eQkJTg0ACZ1rXIMSWqEH32blAhkLWZY4D+euteMubm3l5VM3++UdH7046Y+tS6CNuKVj802s5gAr
ypa9r2yucRbuY8Kb8s7g1olBVaRDigUXtErsZVdPLOtGHF7lbgExnpMSMUDolKUnQxhPkLdyqMq2
3Nsu6cROlagK9tD9BZrHNcKOKUHh61zwiYBGUq5S96omQux6ZAG+E22S2iu8ns6HGvZgeo1IWZXo
b5I5iRo0PQo0N3gI7G58N0CdF7tSmXXcs0nJeu86RCCOnlJiyCPqOiRJFsDsh6kea5LjstKPZBAr
kiJB3IoC//PIHSQsovCVSzhXQjD0RBObu13L5/hx1XMQ7BvSU//CLYcAmCWc8vlQol+UTziMg3NT
rRQi+4B3sOshOK671F9WlqeNG+ytSB2WNsGtMgG88vV5QpHfFRVYbgix0uBy1olCfSLXJli/dW3A
4iLFGxBF4AQH+ebV4bGqE+CPcAzGoKj7uixWXcK1AOQ7sPumtFt7U4/NmomhWcnFK7tw7w9lFeHt
smRAfIWv/QlysQV2xkKOwAl+LvNZzSSWTxWM+WJrsoLrqcmXCU+Kd2hrcB/Rq7/Keq2z1IQkeHad
pfoaD8z1hWTjfBtpiSOpUkmLX2AiwLdV1tyXn1e/k/w8wn9Z9spGa33x4VA/hw3s12iBzpalPhbv
XsslCXYKaQO8ee03ogCsCMQ6BTQDxX38DJgblUVTNeZJIX/1Nkw8OJrEViUaYZjxgE9KvE7U9c2y
l5Pxr+syBOGDmiP/2Z8JfsLGRKX5jAzPsjNUNPVxWiiFqZtUit7VJGEv0hu3xdk0ozokneLqfnEh
DFhvtLg23Eq8sR5kmX/BCcZekG3E6hbYJacCD7dZ+tMMnoPeN5Nu20eaShaelrCxGo31vBWf3C33
UUviZddbgT8NUwlu60LFvB68Ntk+/PbWLfYnvK9B+NcwAjX2oMcIXxWYNLT8rDW4dYauausHOSW4
5SeNqqDCv2FPpbPkd6MfuklmAUBNXG47LfpWED7ATfD0uOwXPAIi2GIJdNs0cDPl+ETYQBbmb3Xy
LMVLSQN2Tk1dpxnyKC3WhaviV4tsIprjqXGPCGd46lKhzG0uPWDD5inFaXFQ0vOvI6vGz5htG48Z
B7BJz31aMX0peV+Zwk0Jgk5r4oLDgFhSi6jS6N7bro3uF628/jh6zrQfbSwqBauHiO9uZdseUo8d
L9AHpMEOaCBX+yEW7CPZTEGQDtWYJSG2OTdZ/lj3s7owsbFHEZ1ohW0vCnEcccpepoaYatdRidtk
JWXATqHs/fGbwIbszqmPJbWz2469ayKCb3Qxq9nhkLHjxZ8g9eYl62aDkzYwHkrvsfkyMcOeCWh9
/7wyiFNfZyWdgobtJ+ZUW4qXWoTP1zy0VVydBlwWm5OWxfu1N2a+BfHVPTVGAUVM1DEUC4yy1ca4
OK3nqxV8bNv3tzJewhsye2G/46MU5lI5oFR5GinBn1GJqK8ek9hGsHXCq0Ks1KqMWQMgWJZufOqq
0a8/+f0apAahGsTUPgxzQBheTJXTjiekrc6kHOwbrzxiQD2puD3VzPMfFkXK9TBp0LW7etVYpDWd
m+B+abs1usIk6jqgj8aLb0Ofh0vuUN2oneUDrppNZV1l05oI7B1KdcgYBQto4I6m02FNR6z+Nlyq
pHDwGQF9DSoeP9rI+c8Nn7DWcNKxF6x1oe4lkz42WIrg6z4VPLagoj/TVNt0s9JM8iGicrSFjao5
vA1L2BSPY6nYhMMdK3o31AGuJhoHt9zUwdz2N8k08OCeLl4Xn4DFMnyuZSHVbTuRwRZCldgzUI3p
+baDX4E2krXVXvG05YVdPO/kxhD3vYOhXmdhyZPbH1XpP4Lg/2hxf4sx/5xE+DmY8L+TcLit36de
9d/nXyMOf3ih/74cxKaz/2cS4rE23yZVf/32swbzW559+8WfFJUw2GauQh2J0wTNye8wBPAt9OJ4
giiaO3SQHnS03wV/PBR8IyTQ7sUMrNYmw/wuqAQY0hwhuODFfoS5UH8vCcH+1Buhp6MxzAhAF5B+
t8kWP3cdnEoTGR3Q26kfxyG5IR1B8C/D3BMlvIKFTXvHNA1apJxK2Ke11eved85HqHOuo7u087o7
3Y8EdftCThFOilvdEldYquRFlEw8uUDaO72Ew8025PwdR689U2Hbp9C30wVdFc79eUm+lRTVRR+m
5d5vJoC0yTj3X7gHDSEjhrXFZAcgRt2hpb4tVgD1b8bE/ncS1OsjVXGtc8YlAFCH/BKe44lodzwW
C0VaLfIakdc8ae+F0OUzbRiQiIF0/MlrIFuoQ5f44woYipdjBossDZbCT3D+4Q9qz2iaGahhE8pU
m/buFcIKkOXJT62X9RMNi3KNjXeN46HZiQi1zwfSrJHIRtMmSb7gCJpAR6CEgiPpxi+t1sEpNGLe
rYBnigTc1TRg158HOCwy4oVnJhZdzBBMrwiFxhTEhQOYyjy0rWREmjF3tQwCCMiqOTkOlqboEStZ
fWWSIzWRX/RJ8z43HT8PcRmst1Ezzqf0B9i2boybmyK5BjnHwkRVyHDokN8U4v/T+8Z/346w0Zf/
eUc4oRr982aw/c4/N4MIo/3Q44M7gnIEAPOn3SBFxAkZWxRs/4Cc/rkbYHhvHG7yVoKqlaVbZOr3
3SDCTPcYTxhH2OoHy0n/lrwa/yr1gBRFA725kHgXAWirP24HAe8GvzLJfBVtzPd939XF0oswBf9O
UYSgQ2Acy30XcuNxuWtNa3eRP1MYewF10uYh0tDdBWttdJjEAA80QsrIRlOU+Us8wlWPULUccHcJ
eHdh2NXqAWBiY2iB/q2XX9Yp1uF9ojWbJATEwYSXJYqsWpBkHBv1ittlgtIwx2WivHxZJsNUBrpj
OjRqYLCWPH6qAGAhPmnDD2MPXD8F4DPqHk1K2KJ2Rm7UXDCY1+1pWstrghD0o4/O9M2DSDScTMOr
N2CDy75Tnrip47ZHpqAvrw2B+2JIw49xiFEByGwE7gHDZcqT0r29bWVir35j5mIqh++9TRUoSkqn
V1j9Ku/mELUULyNwmBig8EztKIAyyug9XTt2MLyzN6CWMCFhrREeCYPHdPW63RKgpuy0t4So7WHm
R/NMTkHsuevkTc2+1Y1C8sAfhgyNpm+zwA/ecJnm44j0JUKnA/MLxjj9EqzDes/XtUH4nWr6Bk08
uqCaqk6ubdSnIFJB4WM7upcDq4o1FfpO6/YdX6k8jdDkn3xVe13eeF56GyJmmkUILFydaCuA6BFS
MLVSBwa2ZtesLL2uYx0dxSibnDkx5Tyo3Dsi9d1NZEv1okWv94o1MlekprdI0nWIyHDV7h3yFFgo
Y/zgtz3Z12Ok7oM6GIpZe/0FD6owF6XaM5Im6w7jC9L9GLnluw15d0wHUZ2Xvg7x3pqE3NZl7AFA
Vh0oPIfqcJ51fDO6VB6GChhKiKRptkQT5lCslJXnbiLxi2bkY+9xekNJOtzh7Zd70orwVvU03M/T
5N25lS/nLrXNqaql2fVkbm5DNbhHPqW2MGqr/mu97Cqzlns1KlUV/1cqsv++nXWbhPefd9Y9mB35
b/bWH/PzXv8xAAiURIyHxqUYnfrL3ooBQAxSPQ0xcQ8/sZVTv1daQOixCwESDX7wGFtS9V97K2oy
IO1RAvkbD8P5W9hp8iNT+rOMjkdJA+2IMULMB7UfbQ/Z+LnUarHjsWUuk2u5qHM1j0bezpa6OG+E
GQaoGLVeD0iCKWhSolpeesY9h3kHckurNPzzEqgnyDCu4EoiDjTrw4ixI+1agcTyJC16v8MkHta8
YeASBtLICKNqiELvhQ4J4C3Sch35jJ7/EZjpR6t7v32YwXk+AQE8MrtkMilBG0GAqryaXBH8TC1q
mBFII6k+Y6wHvy9LXsf3vHPJfSSxwaGbLMFSxLqb+wKzETz5HEML3JcT43YHAKCcISwrXr/oUCjo
rK392FLGAdW2/bHmTeOO1JtuIRqdrY4eowo5/jKRL97aPesQpFjPh3ds0wLbg36DQlHnE2YN4LFy
b3xrnicSIkJFP8bL8qJ5HUFJJTcEg1KICDEIo1boihDrL1JngSdKxM2R3twybmku4vYLraKnNrUI
+8DOcqT+iucWPgsdfvNCUCdK4EuJ0vkhCRAMgow9Hi1eH+NahvaL23bm1tZHb2W2GEdk1USXPo+d
T/e9xKwECWEWo4HokWNbl5gsUghbnwIOliESYHkhm6yZ8lq5owiv7VrPnQENPJRUi3wNOMSkkB77
1vk5TVtY/26hJ2d8KG3a++ohGJhqhck0ZVTu2kRhOg17rXh/QelxUQECjnUKYjBY2ROiQQalsdov
JfkasXXfectpKIdrNUEpBzNcDBMGUQiJiT4KR9fckymLawQeNRHvlrOlME5+wpKeM8pQYsYhSF4s
r4fQH7dBRf11jkA2hGt5DxX3Iap6jNrgPibuEAyr6qDpe8uEiF5k1MYVFzzqP+mGIo1ZzecZV3AG
loGwFGJxEYYExN7Y71YZngQQn2WMPvpqvrK5fm5mOEi1p15ExR83UacYPH3wq5icmhjAB4qAR5eU
z4AeH9ZR4xbxkYJwEBozVteu8KfyXpfr0WF0wClYyPs0ElTb4dAeXFRizJXPutxqxEyrSB1SJF0K
aFjruR+Su2arF/oUI40GLYNcmG4GpGtvotb/2nX1udaYq4Rm8TZuBsRnveSCyf/+wWM4eVw15j5u
gCL0m1eMr7A45uY7NoWfDOFejlvdZI0Tcc518F04BC/aoX/U65DPOjmu+GayJNnkfom05tyaD9Su
8khCrM6yGmymuvpb5+h60EnyKbLRE4iK5WT6FonhiZ5S9J4FmpobbgBNx+EIKVGE4d6OzV1dxUVM
2kfRYc4Ux9q2HMOTbIOEuWD3tJLjPu5mdbCDDYpxwmieUcbP1t+GMU3e95KGX7ygewebdhpt4GH0
CmYHlYR+w6iRF9UkLBdCvAg70x1l+sk5TP6pY/G5d+ElwpSyyGQQpVV4TsIlfgiadEjgXXjocPj4
FliwPTRCS0Yw8UhH421MFnRNLaZbmfVtCujnEdmoI/Pkkg0suV+1kYio8LQIJ0DPcRggIcvde+lK
dfKS+YnLGVTk4HUYdNI7WPVtg702+IKZHU+zgMZqoayAUi1tAfW0KZphkLmsvavRAzLaUfDNrA7Q
WhTfNg01hUHa9di2EpODSIimGe4HuCgLGD6078TgTvZVGBy90kbXeolq2AzjUqSE8iKg46OVsTq7
NJl3PvS9tpYLrlONlGjgijpCkNk1fLjFzKSTE+UXIZelEAQxIaS+qgy2YJcPU/MeJzIBJ9+su0iW
+yoM3DGW03jqh3DfYopJwZO426fpKjLsh+sB03i+TGkEgZqASy0PeAw7Rw0OByXqUdg5hbaWzYLt
F4J2Oo5c+RBLiiTs6J8gz980SV3tZ9GkBzWaqrAgP/LSOHfmWn9FTBhRc6h6Z4qxG8DIVr1rl0oe
uZTrh9UKXBvryD7axpsRietaQQVHXWtOkHUxJstP17yLoCx27Fyy9ULqVaD2HaZ92a4PkOOQG0ue
UpLEN6saIe5qDF/Rxt0Pmj9LujociH63R/NcZ5qTCY74/B6PAuh8HKaHJUWYyPkIqKUU49/8jt/P
NarecvWKtq/NYRjWSzCXN2UXFC3GC5gJ4xaCZvQwZsQCpkqmK4ua91SKt06VCCclDKQiuJOiI9G5
D1K3K+PK5NWKNLrn2Rdft699S+67qX5qKwT2t+et7ZrJR64yHL51a/K9Eh7KyyBUxVSHeElQ9YXt
vM8D7KjM6PpaMt3vgfmbwo4TZgWV7UWmAuMqlqZ6GXlX1Lb8HEMQzShuXbhd3xFD+BwFyD/z+ToY
LOVwFu/oPtgORgvi3qJ70X1aYxZajSlahDys3uAVpEOwd4hKBE3aSzehEglxpmIMBjYw3/+2pOqY
6PImRf19AMh3BuHPirHFzJlIfhRuumLWA8LwDubiBB8IF/Q8Kv8Cuu8rGdLvdiFIuQMehXmL4UbN
t5SYPZqn+aBgDKkB/4q06ovXeHCNL6LBVB2NFKxqX5lu3qAm5wOGRIDXTk4IkmyrJq0A6U3nVdl9
B1sK6Q2gNs2gLsuK9VyXdNpTGn4LMLovo1HyVDcVfhgbuBEgpKetBfX6KgfzUB9QuX1BBXaql34/
otLJgjk+r1Evcj3Ud/GI8XXMfvQDvPiw9HApm0trY34IxPweVuxjhdlb+SDGq4e5gVsRA54VMKis
DhHHoC6XBtelrT9MFsHsQWEIFEEkeajZjaMlKwJMIdIEI+CSJvLzNRQH0OhrYWizi32LQVzBkGZK
iGqPCA1UrhUaVTC5J2FGfLQUvQhH3QlctN4RGWzVw3RKAn62rvnO/ajeVza9c35z6NeDgppG08Pk
ZOEvNylpn3lnMFUghEWPHOqhadDoO8xQ64P1LUjtPrbVWxrXN+hhJ5QcHsfFGl/7nm6+kYXDMUCz
uuD2ea7cAo1gTl/8ASMCYvCrChM8jkHVHSlyO2ZuizINhgcZT9uEOFnHdofUsU8+ctP3aOgpEJpz
u+AjBxAbTWr2fWeIewAS9UVi7hApwrJHKnpNbA1zsj33FvjR0sLD9QjkfFYhBITWkSTNUMgWc+Hq
sC9C0eqiNP0nkPHrTqZmBOlU+bBgGuAo8smiOd2rAMmJZvoISCoCRu/jk4L4ZBE78SR8HeRyv9Qw
mHkytDmvZwHkDHdI24ZjFlnjZ6BnFxwnGLDZejjYkGaMcf22a4faXDMHFJTfjJOPEXNDWCxzcjUz
hvjp5AZpNZZJ1bz6zCGNHd4g6Y3qph/ecLYgrYXZBq1MP6i6Ds/ohL8hKi4Pa+PFmTPpMTT6fsQM
KhR54EXQSmSoa2wRl/LrZMUxiDnJEVpa96OKb8IRQEdrdnLGvKhI9PaIffeG2eCQuAiHHbJAR21w
RzcUfzBCkB8BT5UphOkntWKO0tDAM0O1y/z2SzvWmCh61w4tdgCXwbI6RRMSQiw1V6LkCGwcydyo
+YrcGVIqvsutq6995V0j5vadNNeQ3sXz/2LvzJbjNrIt+kVwAIn5sasKNZLFWRxeEBRJJeYxMX79
XaBatlpud4Sfr/1oiRKpqkqcPHvvtXMsJ/WmaTR57PXyEZPAQUXxs3LVQ+WXzSqZ9QCpZnTcu1G2
a+be81SLl7gy9n6rcTLm8jBP7nwgkf/CN/gQxZqzcZkFg0hV8YlT4cXKy/4xn7H4lnVyGpExYd5g
vWCTcDn0cDpqx3hCQHodk/RmGIrXtPIaUiuEYif/ObNLBJvoMccp9N2d9P99VWphY/pfF/p/ZSCx
3l9/3ZZ+/7If29KlfhSvJ5Amns2W+bN2QpCUS75nsaUE9fvJ7f3jRk+y3Tcxeln0IsEZ/eNGzyLV
tkzcYCxhyUyIv7ct/bP/c8mkIuDQ32Et+YxfjHHeKGu/86LuKoH5cvQy37psivHkFVm9trvmi8Nd
Ahpdui9KN5s/orKttZtuAnBZc5PFm5Hd+BH4GJVON0pax5JI5nZhmsJJmTBVpoa2gz1kcYmNtjLt
owPOHX0tK0CfaKuSj3xfF9vcrTKGa1k9M+0yVrEvXrnYJ5J1JZit+1GbjzbnVxSuJ2+Kj12Wbnjo
aHuwot+kX8z4OfXFkA6lMzJSn9Sa7L9UvuedBPvPS88sME7Fd1VnRlXgwZXbVoYXkzjQyGv1iwXf
JCjLPUiswCyjtQKKSV3C8LU01rYSamuP1Rk6yhJOKP1tnzF7aaHizI2KYd8M7dloW3+tivq5GeQF
d7Zg2X2IVlzqljwNM3dTlZCmj9GRV4nHpN61XVDwChMd1xRZSSW/hUPpvExz0ofsBbk1YSjD6xO1
HBNNdxul5p2X6EV3gMCpqZuYcOberqt1UUfOnkViW9w5SvcbZsrQ7VemS8rXNAYoiHZofyNENhyW
PrddV6TpZs6L6ylpz45VHYssOte6OHlK25btcNRyB0UGnbaGK5PAEYur96EQt7Hyn//ZBnIdtfXF
2P3X28C7fxfG/Xp6fP+6n08PSnNY7NFTznTHZu+H8iooMIcJT5bJX8TVn4Dgi5UdSzf+9z9c7v/e
B5JQ/8SAe75l6awFffdvaS2fhs7/2AdaAo83IXlUXIdvBZno532gEfIWThunvB4b3d0WvTXwObdw
RljDPnLhUHKp4jbAOuOKH0I/4fMBVOTgvzpknl4+xXnYXuLJJ+NnmvVd0jnW3sa/ch7SsHqvVJjj
H+rjiyjjUfiZ2l1XvsbtNDe08brlinBVYxF81nRHbY0Q0XlNqjkDRx4W51RW/runRbdY80AkGYZ2
FGwI8Es4+QPWY/uZYExzNwgbY1EbuYe0K0r8L53GBdqeyi9mpysSOa34IIuVPdmw6fbsVbg9V2H7
2iOH8xH3Yj65PojMBCm4i/rqZkiKIOuYu2Qsq00/GFZ/FWmF1b+VnHfWyeCqNo1bVkGsfsDraR/M
3kl0jqysq1eYLYrmyl3OVFcaY3QXJRAxicxibJmVydB49khwOitdWtFoMVsOHka6rK8GDZuOzOKT
o4E9XkEFmb6iStXctgcfKkg4PjtDZr5OgIo4Yken2Epi0cepc6Y7OADzK2Y6O10YTvpJDilMDGn4
u7Dq5VfeSTGz7jy/hm00fzjx+NRo9baQ8VFzy3aTGw7sTrup9pg+JEO80REGR984SUNNF2k5Vhtb
+em4GvOSQTceZLxtcwV4ru5z3K5p/WhBbzpkvvFgpnW0rzSwvZE+9OwvG7V3ktbBG1XlB6Up/6HS
CTEBLNE3uVj47kLZ5X2I2vXR9pn/VXMH7Ujyj60CqAEEY23TqH7c9ZrWjgEe71ptxjCuvrla2R6m
KixucUS1B1ufnRc5Gy4wbzd5GKHOXbiJlVy2KHdwwNwShpU7XbTpXD7P3aidePPKNWhXNrCyCZ9Y
UQwPBQDUgLtPfKfFY3Ud9VmzLnjaZ5vCsnom0dYyyA77kWLBbLcb2YCYXkt2Mmjf4sN3AM1k5tEd
B5NLQ4NhVC8d44NhmgGY7SG0hdZZKaTJfwa5f5tZkJv/x1kMxWj10RSvzXv83xSahRf040T+DBct
Qorv2eYneej3ExkvDDhQDmpCDu7i/ftDobH5FV5gLPEEwoCJMlf+UGjM31jDAgt1qcpDVv+bKCOx
zGs/n8iEG5YYrQsZFLumqf8yz/mjraGYmtFZw25KtBOPhjdP5sFZfBv9p4VD1eiArDg0rB0EfrB5
hEPdJg9TkiaB/2kEKRZPSAFsDkC2s3hFxk/bSPfdQyLHesZRArk6wV9Sf3ebkHrAepJ+2lB4PDV4
UtSnQcVTalg1UCwTaOwuFz6ARsl9zp34wVIyEesM4eAOsCDeMAGJaVtVWUA/QtbupwgnXmZ37pfC
6FmtTIliqMt9QGome7lpbQGRJGvOlLJO2S5cm2lfPZvQCJ41u4KTgRMTt3WfhVcQPqW3yjz4cizd
PEzT4ZzLtRc74dovxaGQer7OzaS7xMKfn12n6G/BIEQBW1RhrWPMxfsOqQI1oPagY0JiB1LmlxCB
m84hsODFtrtOjMy91QyPLfes8nifoZC85YKgQYQu1BbrSa/tRmw7FnBVuLLMLi0PXm+qnd3wgkCp
G7X+WcWNYWBMCPvAApeOSYGzYrEszN8NDNNgzrO/90kJGcFUNXLn6mq+aZs+eTH9or3x3dbdJhlB
HMAEVnSPsfPsm201XJca/5rXhSZ7PZDYRPO1DMuuPhAP7sIrLxbJc5q14n70OyZoZLEU7mihx9le
N7lv00zAmvYAqS8Zj7kbW8OHM3jywzd9d4e7O9xmccQzNPYFSowGOCLXGneDf6F9ikxWoGhpmr92
MAz9M0V+TpHc7/7HyXX50bx9vP95hly+6seJhXCsL+A1jissd5+c4N9nSOM3PH34cmzfNTBZYZX5
4wb6a3PM7yeW8xtZQQ4zjDzWdy7b34hDwlL65cTC+IOD0ELbplnQIbb5nzOkqYkBv3SaXhm6pZoj
MlmlQ4jNLe3RK4lEBvnnoq2rkxqvCpRWkR/mJt+Ph4MewiJiwx8R2UrY2OELZ5RghwcCrjnpI+i/
p1Am48pRRUolgyXW+FGviFMnGzsBTVQJO1vH6MmolFejBorfd8UrmAtWxk16qvT5GsMw4lXYfEFL
2FU2O6jOG7/M+vDuVO5tZZb8AVhT9nK0CbR75d5qfW7CybceYx1NBzlPaoN1eTWo9CGU+TXOGDQw
fVJrdoRXXhneDDmeFofEyV5yiGIM9/a9U2GaS4d96IhnqxpH1spTx9AAD6As6z4gR53sKzPPAr9x
PXSP0AnyOnrqYNeh7iAIyjRM2XXpxhYYZLbqNJOCjcFR0Z7EuNTxGgMTWAGhmzjJtWwfRXoVQHey
d61hZCe9LuQtQZERym/Dyskl/t2O+CVjj1y7NGLjPE3WsR4tcY1pEe2/5V7r1K4iIIKnJyoxa8N+
468WifcYkm/YF8KcwRcQfkIGBsI5pmF7TIymuAEQbZ68qkE8zf2plXwPRR0fLVdzjIOftozkAjm3
n1gofDVq09p0HXBOhv/LqO9WXeglG0XoPiqMBMrlvNXt/MZKfHgnn/wXs0k/srJ7rNv0otR1uUGS
2mUKJqlr25eNrzHhCd5IebyxaWYYo+JYieZZaOlFMsTlqhb5vcnlIUCag05cIyy6Zx4CnVpHClcm
UlcsAtPszeSc21EyXxq2ztUZb1laJc7atPrwkE7Roct5Do4hJKqRrUyQz/JtJiyyCkEyoQDiwi9h
Tq1sv8Ca0Nhv+CCalW1RGzAK1W7MaAw6QwGgmh5AeI6bSRX2BhRCsp6mylyFsAAUGKGNp9vlXpM8
U3VPBmPM70z4cyPDD9wJwzv7XS4Ntp+SJLL6HU/afqOP+tm1Bz1IG4Q+gsHtUdfViWG/XwM5EEGc
QRPUc/HijAYIoam8G9wxXvnT4K/DAnJLzaXBj5lLl/XWqnXdjzyU71lJTQyfrrVKJgXcP7nubNAV
Uy8CQ4cd0bUTkSWeKaui5Kbi8dbXDUtuCp2VyCa0FfYQ7bMiJ07cMj0WrSrv/3l+fD4/lgHwryff
f+Wv72Xz5+fH8lU/Pz+wHXF3/m7Q5Pz+6fkBn9PCD/TrAhMjKG5exk97ISz8R5re+03gR1qG5O+U
vL+1gmBT+uvjgyyxrxNjXph8HlD8/3x8lBWVSwi87ZWemfdgRu4EtsDcam/SETjd0FvRkcNuyA1r
n0xTssnTNNyGPT1UauxCClbgc7oTHC9CWre6BeYqqlChBks5q3Y2bpReE8X2+bMK/ILU21QcSLIR
qyrK7hoXLvtclB4dKuOlVuslHLYEZNzca2tttMMNJ2gCgAOScKMGhLUiv8cja1+6/VxcJEIocPui
ZgMIwlxk7o6nhyQeBqfEicCOzU1xHxVLz43GLVlv2kNdAWP2lIRJRZLLtfIP8r5fyEpqq0zY+9LU
7rQ5BQFTt5fzEouabdpRfI7F2u6mdVMOAeiaxLgwpPneR6+NCRFF7ssSrN2wGMWZ7Zdil5Tbajai
ss1tFVRT8jrMoEAgkL93uN8NhWvD1/mBGg62tvGuuU6guBWBNl90yjiOlvdiJ86h1BOLAwIqlu/a
F41sgDbxNLN6D+oBz7/UaTLcWl1geDoviem2KyVle3AbC/5KmN8KOVg3vha9oavdtIVHACozeeYa
kbEVdSk4ZXoecU7TBVVYKgxa4F3CdDBWje5diDg6TF1srZCBNolX3I4pPTH63BlBbRLZhm8+rWhL
GwOHAFUga9XfSaWDwDKQQzU6x8q42uEIOLape0/R0KuhyWKXT+lKwWlN+gjnuojSFWo9mijwE7Q8
sXZUTT8eP8vc1DvfhD2fhkahX1eWKu68sOYvhjRdpeXVbDVvcYmgLHrtmjf4q1/yuGmg/h2j1Hhq
6v6yIQO60eDGoZGbH+PQffTuNG1bxbBTt15Ih5D9NecjiuYtONnZd28JOdyxDGpPuacf+yR5rmb/
NNcGm9wy2pVYzGqeF5i3vAXpHRqrMg25pbXtWSUzH5/+PpLh1zpyvX1hEoRNtPwOn9ziB+YharIr
q5Xce3Z5ZJ9MZcTkwFVqi4Mj7Ycm0qMjcEUHgPp8x585XNQkNMjFlWWgpMMyZMlA9g1hVsNfXrzR
REh1QmdjhNZjWyaoVnPXsScpimMrupGHB/i2aIpxErfwnOaxLZ+kHi4VQFFzneBZBJtPVILkxNbr
8i84IxKg8TRQQE5ctQI7F3mxIgizpCMCl0LNnZQ4tDHI8jJxok0juoM+e/qh9qKDa4TZDpS9taod
c1pxLALCJzoF7W5Geyv2lqr3CfpcUnKRSRKFSpFpVGXYlloTkRxXkxW5G1+2G2Wx7yQYuQGZdp1I
f1W2/YMxJie76bBaTGffau56lxFmbvMdNnLWb9xMV0VqnPuxe4hBQVHnFV3nVneTyuGLl46XbT4/
Af2hqQFExyovky/E2I/WqO+ntr1X3tK80xU6WyM8A342XqRtHbh6U27zyWtXohkvwwYmUzFhzx6M
wBXVUXRgbqe2+2bZ4Qt7vytSLWfQBtd14tagqtqvYWizyk3npyxCH8WD5QXkOF/a3CXfNWE2UKK6
L9lvjhpOI7ZwDHghwFHWqIm9jy2nMHcsVUQQlaSw7bjc/PMI/3yE2//zCnjfZa/Nx58f4ctX/XiE
s5nyPQOd0RTwaRfA2u+PcCpHsQ4TJgK880uv6HLPgzWB21gHDUOc4o+l1RLZ8I0FtOZalJLC0fk7
V0Dv12f4EtlA5+R7YIHk+fqS8PqJGyHDmtsGjvrzTJkibWjdCxvRiDgiGwe9zwi7Zo+2QS/YVIbg
V7Cp28bQrpuiv87b8oB/SVu1HHfwKusNhvxT1CWXqOkDvoX4DozOe6/36RqKGAgCbcjX4SAuyxnO
c6gTys/b6opmrseB5S9q4xONZBN5XZ/qkQzKga9hOAVeGVBnFfHp4d4h8ZfGVfLF9oqXaiofeuK5
wEZpugod50tDVqkYi0eFFz8sQB86sNLM+LJPowtVxi9t6WFkw+1Hev0tY40T5PxgKxL2zk6I8tgZ
5TMK5cT2x+TAUVNKS+Swh439MImqCYifbS1rVhuRmMRVBsIhqea911Fvb7zMuWhVdj8UM6O9tAM7
9W4xxb3XrX8d29gfRb3g7mSignBAS6j6Jxy8b6Eqn8NaXLVl8QZyy4fC28igA9G6bzEDIaVgdm5X
ViJfMqH6oMq8ajM49KsOVfk2GP4lkTm1wUFFGv7zmmfhv4O336zRoS4UkYfaCi8KysZmSiG2Uzls
9WY4St/fS2HfTnP/LbaSDzdv7s1Y7gh9PeUS45y+CB68SL5OAGcY8GMKnaI1sSQs6J+5xNz7LUt8
Gv00fVfqob7umoTYsC4eLWnfWmqC+R2n95YU38gd94cpXr7c7rot67enHJhri0Ubl6ADlKyDt9mp
hL6j7LkkObgVVXcWkY0vNIVqWS/FkrqlLeVsW91lKGT/v6tVVAIwrfpVV/Gqgc8d1sJ2Np/273r2
ts4SLQnb6hSHsIbnJXLSJOGE52a+dTN7NxT2tquteo0B2eNP4spHPwgqClWGG0opMMEhaHBT4008
tbyGuaiIVzfzXSm5THeFt5Vhv4VYcjd75hHjs7lyBcVGbc1UJ5lZ8eClb6ocnwgSq5XrVF91A1tK
UYbrZli2C3q8J+SnrUst2uuFlmw0Ny3Wul7uHAjBYBO6datr/l5Fw7Qye+8jT+oLb4SeVLVJFQB5
4Nk/oXdjYA1kPj6UtX3EvBaveDfifTfV13apTtMX16C1RHlyLsAnC5/5ZiRoIA/Zp6s+xV+PW7zp
g+bTdc8/Aw58oVw5BE5sm1vn06MPORS/vqUqvPt+A2Jgzf7YvYYPj7t/quPo2qxH+QzyNmgz3kKr
Bcp+riABJ4pKEw/jsW5LNEpf3hG40tbSt8cbhuhjKOvYDEa3N6kQ9bJ5M3pOWx86Vw9JZMXjJ8ee
MtxNOwHnG7KbsnTGGvK+KZ7Sgf6hy6yoOs6ZLDI2+H3edNl1zH/O1LBBAQzig+JPLbumM1G48l4H
xNI+i7CX4YaqD3y1tZ474Utqx5F1qYNrZLD3R4ow/3lcfj4uF3bSX994L17T//KwXL7mx8NyseVY
+vJQgyGHivPTwxLNHXI73dwmCUMMOPzSj30pj1GYXDpF7Pzifzp2vN/Irn+ytiB7Idj/rRJuwHN/
uvByFLF8pfB7SQ4vnoCfH5a+CWSCx6V9lfaZPLHiqcO7kQ7ueu+ION0NFiTzybUW1oxNJ2yWHdgj
DZh5NHufhhCV8knkl8Og+1jeUOG3I/TuFa1NVOpiKfXspWos4QhKuYNofsJddVF2xow26FwCdyc6
4c/eh50gZfawHjcsneac+6o8FeNwSopsq3n90qiQdLeqb7najM5LNlLt1CaRH1AEucsgVMxmtRuE
vK2NotvozjRvQF/36yJv9goamQ/4kjjPTWx6V3PtHYSH+dXTdii2T5r0qlMRlqc68g9NZMUHwx+e
Mpjp6P13ubAfAOAgEnl+RGLSrO6MVj5jWj6YXhUkeviM8/y1Q5FgCVXT06t6mBtRzPfMVM0Y1a+b
BvenW/qn2sTykzbilLbZucZtib1VXta59Qrp6krNxTfFPzR283I9lwNbrbBCGUndNX0fezpPNrQK
4zQU7sqf6bNJsWu6lQk0x53ol9WevCa6mQYrZI+YHDpZcKdz2znwJ24m3pIKMELiVUO5J2/5nE5y
R6qQ8gqzmbdygrIiq+ithW63nirD3hSgSx0tPmbSh3kHcKaoLLEZFMwPEMlfqjCyArP5huKv753U
8QOOO2yNPKyw3n7TRmp78bdd1YsTYY5jCNVufe81HpEkP9undnOTwRPxe546dL+vE1WBPZMs10dd
Ti9TQamYtN5dspjcjWkWgZTxbDXVkVjUy6jPN7Wn3fcN1bsVTnnq7b/BkCeVMqR+wHPknLvTPm1H
H1+50a6TbsCw7eNVMGzJWkZuE9G9sT8mJcqTwO3TN4gr/DqbTVzSVIl/7WHQXZC2Jf+fd6PcKc+A
DwQJw9rx8xMRmoyxWIV23BF4yBtMJcpzGeZyToMNuy5Av3XIF6fLvzisnhS7lgJfquKtr+EXX4Up
hdbE2aL91OtXMx+GG1pC3B0D2HBTWS19d4M4mmZirnF1rMyar2Hg0bAH0NzljnoJBaVfBNHapELA
mPTAMuPxkLuavbLrMj563kjDSm8PlEzxrJ6g7TIE99sB+ztmgysSCyV3UuPS7DBnYe+7mVq4vm2W
nGuHUllhPOIMmO4a6CTPrMPZ8ddcXk0DIkDYYH5TvCEpKUwxEctVb4FXG+ESE7zlMwsCk/eNgNPt
FpRqGQNkSJI2ATB86u+06TIFQpv6hVh10PxWXcZdU8Tt16bTdgbhL8xxzaFwOi6Itnekps8+GpJO
rpLe58Xj3bwIt2YbQzAvwKHHKBATwCoivBExe+8tDESyY2rW32pDPEGQCrd+y+8dmsHbFfPIqZQy
MJU5F9+Wyopdn9KYZYjl9Q0pjZyt8FRT4gLn6BzziWIT1x2RAW4YW4C7afbWkIByoeZgPVJB6WMM
TuaGAK/vrUd80ZwZHa8QMgum/S2ZxWmbFzlds7HFzMb0SYLq5Em00aGiutxOn/GN7zqtvZvTvl9R
wowIMTQBkJXLtmvkdupoFCJzgY+m2jtd+02a4NFs7AEb5HE+sIzQ4tIb8/u8TbILP+qvMeC0q9KK
/SAvbTowEYYIXD9OGHYGqzohdnyMMLRWMKePKh2I6hrjDn/n3T8TwueEoHP//OsJ4V80Lxf/ZUZY
vurHjLDcmun4dRyOBG9x7/5xoV7kVvRB/vsOksXq8WNG8H5bNFNT/0mJ/eECWejokFVcjHy+j+f3
b12ojT+BGFnIC2CiJnRCvk/jV1+ebCjSTEwvu9KM+lnGGDDmLvtqTPYhM+hcTKCPtyxMXbwfeu9u
Z1Ne+FN9Hryc/P6Q14d8KUHqpLZu3E5s6ZXdkj+5G2IkG8+lXKWX04Wuwo2jsRSODfUFVbBaZ0Z2
Edk1NYxas8/S9jV3RrnCNfIOGYWadA3HhbTH0+j177Q9sVfC+rFhbxE4E1WqBs+PQO/4VDQ55UhA
idTa7XwKACfdWauymLZFOV0LSps2GN1OHRcHoonqiVKlcQMt6r3UnSP00WpTc6StZN+m1I1ASo8g
chaufz37xmMfztSRcCUEQakNlPFhEUmcJF7PkvOLeEqI3HswqRacXG7lNbymlRiQfCN5qdziRO6U
/QIRiHJiSMqFuB3idNNLmQdpIS5DQ9yHU6ZwCHfce3wTvmzbg7DkCQEtwtzn5hTTt1c9ejb3LUAI
HCZrmyYveadEUr0ASfsyYaA8Ka+9qkyiixnXDGp2mpdRQsIq0l1ekeOyOlx8JNHKVWeGYhWF3mUk
xRezZjvXxcOVBkY3SNNu3gh7lsGMLreSKJ0MUN2tqUXvdhaWO4BsJDvT9FQ6r2p8hUW3tSrnlctN
uesaumE6hImmogH2i29ExR2wnCr9iOX8PozR7WyyBHdJFrKL/Cx4p97jHPL+pn2v0PejEuWVaEL/
ysLoeQSNwHSB53lwnb1qmDr1zyZ5y5/OZjLDf4qXpnlQlo9DMWzcmB56k0J68FZ0PH6W1DefhfX/
nHPfzzmOpb8+50Bpv0J/em3/vDtczrMfR91ynkHEhq0EoPj7ned3+W9xE9sofL7hoPQtp8wfR53N
To+LkM9t5Lvp5MdRh0tuKa2iBxCYLVu/v9Xd91+uQx73LVaXDpKyALjOnezn61AhPSqDeq+80vVM
7isaoiLJJ62hab1ze+I6nWgvxk6UO1Of2UCP3XWR0IxtEn9s6C1mX9ju2bDbgU8YbS0Hx1wlVlSv
u6XunW2hoFKBCniXfNJGG8b8uiYpFy1F8djpzDVT7Qlm4kVDl7xX+qDyaJevp+oxJB9KNbF3OS8F
9OjWGMgydZQsToC12cd5YQJIy73EHENzN8kARam9P2BxKZoY3bF5FbZVgKaTX/rcrlYDCGOgnYSe
0n6+dAr3EX9qS/LPfPKzEoBAf/JT42Jws3vNzi+VN1Qsd6KHoiEZrhngWMPh5IJZKoqEMUh7FvG4
ljVJWB1Bqm2qi8otnzA4nmn1pDHCxi87Ij/wpqD0GuGgGOnJ08j6xkS1YJxkGfm9kQRXWE+B5xX4
U/qlbjzJr1gqEeCT5r4kvstI3J2HDJFDzoOxs1O1TZwaKQ7XAunzYq2J+doMnTehqvu0m7aw6OhP
kMX1aDnbKcoPscgVRbrttdO5DxFLraCypifWahwZg11t0IZpGC2oLTXjqd0UwqXcjKztWLhbI8qO
o5F9RDMF3p4SD07UGKAMRUgRuX+V9K44Z6G7Hz15V5+t6OCgf+qDd3KmJIFcoG9jt+ekrcH2qTkJ
FPM7GD/vKXLotWIGFwxi8Y7nKmCavHyjLaPcJIrTTdQGbQtA+XSq09S0j2nw4wGTfG0a84Oy2I+h
1OVe1tZ5ARoCZ5BAqHvK16fM+mLaKezWyUPjZfFdFvUxt51DZhuXdhdtMQUjngGQDaZxFGshnWnn
fZ7Dhd2pYOi1m7ga3v05HRqSc+RodJTIubbalYs2aWk1cTHUSt9ZFDCxeDM9l2Cz5e3FInCWzfgK
2vQ+1stN3+aBvmR2eOvyPvIfS5MO72iRSmv4CUHsyxGAQ0cmCHwfpU2IqypjN2ra2a1PvtqBVrH0
FR8K37kI+9bA2YRImy07aNfNusBDVN+ai5jr8EnfaovAq8NIPE1oviHar7mIwKQBbr1FFl5w3GRq
+VkiNcCAJKDdWqiQks6XsuSTkiwSM0EfMqz2RZTrOulOZGgHPTornBeFPt2WN7FlVasG6drz8vBA
0vM8htmwoijk6Ivy3WqXimmE79zKq8BNKQjXRo0eyEUfH+zFFVDbchPN2g75MplBcSCoNxdJcmgR
2eOyntZ1yNugz8PXaVHixVRfhos2XyDSj5W1p2hZI0gVfdFk+pF2fGSoXee9jcTf+gxhi+bPvscE
9JjdA77+5i/GADnyvjMXr0DJQsEa53qlVQiRvayLC02M9qWBy0Cjgv489oBkQT0ngevP4WZcbAld
GFK53mBViIb+sm9SQrmLjSHz47uo4d1sW9I4NBmNzFbIKw5eFkj7NN+UYeWQ6mJpwr5hXlf4Jcy6
YXXD37SKZvYo2mKrIFoUbvtJUbJSK2sf8XotJowUGjOTSn2TW+Ypw6fBqv6ei3gJtKk/hoswiKsV
N1FbNk1yVY1G85T6dsvat6Wlft12yanrMMCtFe0wAoU7LEimxTTQ+6Qq/l82aywSIKsJNS0lGd+d
8DbPx7+eCe4pf+K3//cv+30iEL+hAOHAojFC+EQbf7r8mL+BYPxujF9Ci/8eBywDrBH2Uo5hAI0L
/u0PKdH/jf8PcwsXj+3pTAV/R0rEtf3rdpSktY+EKCBle3wr/E0/jwOAxGG01W1+XRiVBfZKdDSM
4wDRaY82p0H4q3Hse5zgbvVG8uRlXhqtsXbe0WdDXt79OvV04VaUXzd48eqlDVt5rJA6yz3riiuL
ltCZXVYj7dlLj7a9NGqLyiF2WMmztrRt931ESWFYXrWTeteWRm7bH96tpaOb+OS684H2Ay44jUuP
t+knl0uKns+jvSmXru9IOf1GLf3f7tS800SJHaRrvvYEilCOph0RhK/aaGyjQRkslOTehXWH2sdU
sdSM2/XwPHjaQ6YmYGepcWfa6kny8UJ8p6ScacG5kpg2IBD5CiQJZeYGrebuUm/e2qwwPLYlSBNX
JTlrPtbiTjfcBVIR34xCP+a6/QGIYWc2w2trxSdLoE42UHJGT5xQgfjd/j7Xm6fOjA/l2Dkk2OVT
2TpPPlSnoQRWY761vv/WiPaqmeNHuxzfUsvLN4QZ5g0Zs2uNb5b92LDPCUGj12gFhOGOTUoa39E2
eYZ7eZ7NOlzT4SRWk6Aw0q69HE8TESnbIGc56Na1Zg9A/HC6rhjICDqMximJHLlLtM7Z1jKDs9eR
yW7HB6clGAaVAu+vOnolz2jdz6+qyfLXU8riuakKsZvUsPNIW8O36CLOvszbpW7UbBI97wOnD8fA
7nDgGFSPr91J7Bu8GqHn4ofvrh29u9JLyIJ43+tdw0w3gkJE50sPwpbsThUrPmhuOJH0hlPfbtaN
oF6JD1q4Hsr+pLv6OeKlWOxXXxOtuXV6+xoO/UEmLm2qItlZSfmQc9r6y3oznZ0HxZSp5/JLW6oP
thjaOp3xt9qdY1En4Ee4ZOYnMCrVRmL+CN3qUeu6dpO1w4PmK2S6nB7POdPqwOzTu0kTU8ACA7Cd
UX7LWw0WaVldWpN/lVqoyQqy08orKXUc+yEYkQWv3IG7vpY0HiaZWKzD1N+D++pWKRPjqwqrZKO3
Vcj8iKPUTJPHLt24WfxgKtCnnh+7AZ81xpEerY4Q/Q7LZ4FcSr5sNBjczFI/LTx4q9DmDQhyczMD
AGG8ioKpqOeNK/JzvIA8JmJu+LPNZj3KecETv6bjAkIx9TvLPGoT/fMsOjTZ3JZuG5jTmGzopQg8
q/yiO+43JJhkVbnWt2bWnxEkLvQhO1fTdCcc8LH2/7F3JsuRG9uy/ZVjbw5ZoAsAgzfJvmdfbCYw
kkWi73t8/VvBOqVTku65Zho/TUWxKovMDOzw7b680UKUixC/T1bdhl3zmrIIWUTTngDIweqg29Q6
CRreezEUCWtZu9On0dQvdCIeh6K9SUvt3PZsmaO8Xc04e0yvhxKJVwGFVHnau0QsOiRBkGHtJ/IJ
RZPIy6t0dF4j9AD8G5jkCuo8jWJkRTO4ErgCI0dDB88yja0nTl1M2RNmsz6V7y0rrwVqUbTiQD42
Wk3HbsMiPJz7Q+uz9TDq4FaG42sc2QFutgSmSwVtugxoBmssNkzEgqFc8QwOx7vWroCdq7DjCKuh
SjBA57ld86Er+Ei48gwvJl4Xo38pUjNfWp0/Lh26NlkXXRWld+f51s4cJ3cpc7xC3ZSC2wLpFejV
Jmjd9IlMNULJ0J80BDdyN+qDbcePJKzahewHmhC8wVoGRvg25uQh2bZv+iE/cKDfTlbR79ijogoZ
HbJ8bywiRKOehMQWyUF1eZqo0JLMoIvRzpfWMqnSUxP2NxF3LhzrWEMik2G5qPU1pgW+t+/vbBm7
bAW6Nzxq+ELKmprYHMudjCs2yLP2ibTH8yKsoy0ZzRtQq2/S5LNdpVj0rczVlukYgFLz5/wiKKMF
81E9sbj2l8RR2VhMXKZMY2AyY/m3KjizybyLTRwJatva4q3zoseCwXfJ7LOZ2gDYEL9yTIAAKgeT
fULLGmZDApifKX0Se9McSAlZ9GSE3I9oFCQGQJtUOMGH4JmIH9ulLtjGEWk7bFjgJvN2c1XGgqIO
QCwkb0ttHlakAs6TZhZogw7zp2DNpSXywW6nLe0G3+1CedvKj5Hg06Kx4icp2whesMZbr8tPOIQr
fOVAfFXQ13HyndDpEk7LGmHPAK7kiuKJJsJ038zVA+vNapXm5qM2WVfMNt+HKt14fvzAw14c2fEA
xHI9rHvBFU3t99xwdqbWAJ2h7w7OKPn/ifCxjzLoKHx8oTLJQ233K8Nx3gHjaKushpcDVnXGhOLe
6lgy1iyMLIA0Y87sjWUe6c7fi3p6lRpvhjbsjQ0NfPfcJmGm+tohCoJXlgGrINFwRMbltqgKvt8p
r7nl6wsCqcGandV7GRPQ7dro2RL0A8eVvBad/FZYkmVAOu7mwPyMxeBwxsKlNgxaONwxp7yHOxF4
WMRLEF+8/WK9VR01HtZc/Vk2PabBJFrPJb9YuoibVQjJbxVjYl5KLX6Fo3hOooHCEgBDy6rHdaIC
qGRrtsiKVBWYdH90ItnFASCpyIXmJ1ra7isD+A/ey3RNLfp3RJRxUblBvelZNy+LrO9XBVQz6hHU
qSofM5eYbxCQiMsq7Z6d3EPtsYrLI1YkQ0q9L5y/oHPbZdAU1cqwwrtW4rD105YtZwcgUngPVt5d
BynhAbNpVQskVbGV5PNk9u1mDNCBjSTfa0xOKhgolgC532iFvB4Nnuf8tHiExLtK4hsG1voxlD08
IvkphXavmVTzOJmSSrzk02kyKg9S472f6iPNYSxpHfu96Z0tQcB6lQf6wc/NfOXNNIWPMnkMsqxZ
VmNtLN2O5auWYa95I0dxYjCwFq5Fga7exYfSRkgouzi+GFGx96uar7nJc0D2cJEN8b1euxSOd9qt
Q7HowmD1boFfGpm5YEHO5aIti3xdtVQLTzYLpSyp+OegM5D2rq11UVhHtyq4nSLxJg6qOp+7T2k4
aPbELtZBYm5E30F8UcvRWmczm8OpncyzKaN2ndsx1TdJeScjfke0A9E8Go6c03V+Hq0639TSOuhu
+x5nEyJS1D5W49fWVDzM0ADHKb03LC1bDQ1HqiMglVNQ6lJdwarbGVZF2p3Kpt7kYnQXYmpajkOu
lK2MPzxmY7ossUOP+cecwbbyuF4G9bw3jPwpiknqkK0uexhEDVMeZSfMmRXvzBDxawuvmRfZOVuI
i58QdSvO4JFMJzMfXt5llMZPHa3KPl3hYZK/+m7yFrcdNZEIJFGrr/AeYe/PeVKa1W6qHLI8+nq0
1WKjKu7GxtuVlrf3aG3C1X1NG99yinSkCzNch366jur+VNNA0kWsM2y83IcmBvpTBY6R3KT5LJ+m
IpLupdLsnv9gt1RFT65cdnap/ejT+v8dqwPh4n/Vpe9CYLivf72Cqu/6/QrKhRLeq86aC50ZFs4f
rqCCTRo2Hf6iH67V/9xClaWHZ7wEuqMiK7/fQuFiGOS5OdjwwkKyANPzNwyttvlnQ6uNcZY/BaiO
jdZNVeEfb6GG+svLtEqvBQXACCodgG9r+NY7XEDaSruiUaYmXRKdkxS3eD25O0yZrOYB4K/60f0o
uuiMW/beSvJ0meuVu5pMD7t+gB3UNXdu2m1kS8fXqO8Gqn2yjBFw4MMKh/q5scHkcv4vzBHI2Vi9
hg5P77b7cJiOB89ct1oQLya9PJPdeyfNvg0mD9huA5oU0ajbxWW94yw/NnGwBl65mQG4aSreoNv9
SRrFAzWVl8EIqSOrrWjLveQ1rcXGEOKJHkV74/hAeMsqYzjQU4ybtosJRzYHe2z7jcv2rDW0nWfG
lELFd37PbWNkUFn35XiTE/taNG65obdG7MAdiqPpEDec3QHxPWe40jLnyjPT7wQ7yu1kcJRGHISA
y/z7Oi0+05J+XZEPtNQ28ZlOlGIVBQZWh75MVbDHXjoj2Exnctf4VQ+h3earYEgfWnZxB2jfKxKc
N2ENHCx3vQOh82Dh2O0Zw8N9FXZbox1vIkqd1t1MbHJiWUVo4BMWCQMRUiWxwWxhud5zHOu3U8Nz
qwKvyehqZstJmvdzFj1j1IKMqNBwboLXKAJJB2oIOuNnA5xsF8+A0o2om9Zhg8yn++ZN14aPYczr
DyYq4WeCcEuJeNhJVq8ltUZUvXUfRZzstQarC0OhpXTxqdUlIip/jxgblFncV0VOHHbKbseaepnC
hTAym902CJhqqpz++XZifTHEfF9qtt4KQry1xZWNpuoq+zW/94YLHGxzbpbls95FJ5qtT3XkRXst
0AmhMvatLCPH70S505J+PdIRbYmXt7jkoXeCqO7soTODNW6ii4iLZzK9EbQogptdVK9GbsZy4IUO
6lmjp4zwurg2DDbHVELuEt0/1kG3b/LyodP6bdHk57AoNoDvPPIZLJiDpvfWlhygG6ShIAPZP6nJ
oCGRo8XjdojKifJlZI1csi+a+FdNznVRDURxvf7OTVJWIYdqvrT92dcoQBPePhjzK93Or43e36X2
fIV64AET7rcGDXeLDphgV4SsWGdiTDIGlatlEYsFDSUG6Dw/cv7QnO3N0pVGthwsBJFM9J9hQrRq
zExnbZTqo5o0b2MsV0Phfjrx2O0LeCNLv/O8rZ7b+1Cv7NXsW1mNhmwyH3Bh2mraGKztEYmgcMIB
exINqDUb7GAM2wN8zXiT9db3zm4ZQcPkO6L9E9GudwAyXMoaPLmBOVxPHWk1Gjr65dTKds1xhLRP
DZlRH9mwt0fOnorcFF64aKyQvPOs3dt5FsuN2ZXSfuhFoq5UVq1vO2tCTRiokV2MzlhT3NZx8V27
uQYQtOoN091ZtJQhuZsUmF1Q6qbuzhOZ3t4NXq2ZrPO74jjYoKie6tky+qukLXcAlpmx2IisC3Ud
jdTFtBLEsLipNurK2tLpZzFIbmp1nXU1ebTJpK5IM1rKnvReFUWDwY8SrYz7MKVh7jIkLgtvfJYH
U12b4RIy2air9GQXL4DJXsO4NlatyyXQnKtPSix7usULAb6YS7lQ1/O6rYGwcmOfymYFU5EiA+7y
Vl7faH5H6Kp46aPhc9bM5TCq+/iXDFASNm/M8RBOgGaAKmJUeI2S4pYJbSA9Y4drU8kK8DLuhMEe
Hb1Bi6fnNDQ+ZyVENAEMrz77Bo9hBQ/NUGqFZdd4+OrbZOToYZ2OvLka02MaOmeRpKTukDwGpI/w
SwNRakgVMcHzZrxIJ5lXRKeCtUA8MXhiQsK1ZxgU3XkW09GjWY6LaVzunBynWVOIdkuOmbPdYuOm
NBo2m3yWfO0eJiYxw0dDqTkE1RjNNCL2buIN/OVgoDzkH0DeUEFHzGDmwA18UCpRNpYDq9HhVLKY
Y3iGbRjozlU05OcudbLlWPpX1HGxcGh2Qde+Sm+Y1oZSpJQ0BcAjXftKrrLj7sFXAlY35I9FWhxi
LeE1onF1SuziU2fxHpgRwJQUVqOJIUE+cEBvRJmekiyEC86y0kRFq/poq0XIaj36GkToa5KKt55d
vEVKgNNR4iwy0ZaS5vrc8rf+rKsNW70PNHafXC4CwgUe61PUPc+eXNYy+TJ2jQp1NRqWkdVcJWiC
TCKb3GjZ7Oo74EeEvZV8OHUWqzQlKQqdyjEv8Z2tFvBVR0mPkn71XNP0LXckdw8Lyls2YXolcE7S
edYeujyviax5BwdVM80LsZ4KHoJK8IRBHGy1QT+m7OCW4IYg3PFJg85kXEslmWoNOVg8G7AVlKDa
g9FiJlYiq2PuLSu6JlLzTcOEsdFybjUcchxwTO8zBhis9O61UffIt7pJESSKLmusR9OurgDWv88o
viNrPaBFT4USg4NSrlrkYT8rn0QBWpUM3IB8bNINSgULXXZpeDQQmIMshQgOESmZDwECNGAmqJ2t
uMuVNp3j5uOsD5f/2EF+2EHYhfz31Q/NtQiUfx27Bd/1y9gNw0hAz0As+ert+j1HhmvecW3B5EwG
+wtL+XP5Y3q/YfjhS//Z8PyOEsERh0kNCiYFeD+4SH9j7DYcNVb/Cj8Cr8TnwoJrx0twMcH9cewe
Bx9FRiIvJnPpTPtZFhllMiEw7CsaB80sO2s03O5cnyiP1oV3kxVwLkiOs9zoEO99iWyVVsm681pr
1djMoGJQB9mIgNz1xas+zQFXveh1rhpI5iYN4XUjj2kGH7/y4+u4omYvwFhaZg1Cu0vVnzvNYhd5
slnhePNpw016NaoDO67blEqy9thRWMPBEj32usTtnm9lip5XjKu8n7fYY1lJi0xgSS5uZrYKhSz2
7L7tRZQWtJgyzS899hyLqJ5fvbi+kRK/aAe7iOincW2INj131lxs6PfMIYCnTMRN9Wn6wWsXY7DL
NLT26QO/Bv0RpFJ6DTEpzRAJDOuxzANuHRhJoJpQqFybWEqSEq6HWeCxmVkVLfV+PJozQq9Rzx8d
1WcdCwvc+FvdgY1ZslQym3VNA7AR6zytcY8t6978aD36nqneIES+MGbzlE8zPQH0AncBzvDQabFn
R/dul+ZAOcsdkan1WMT3Kc7kts1vylocQ+QiCgWppYT10fMr7TKLKvExqvNtC4Rp48ryoNvZW84p
iQXXP4neO1ESixYN9lse8CnVNzyZS/8F2Ssw1o1ZBPmNNrdTuQVUCO5YJOIJHCfClsRtbuA6H5G6
iDZ0714TbhzDU08yvhzhVccNgWld2dezfty1U3ixct9dYxqaNmTEPgdNQgJ2p2fykPftPN7ovf5i
4o6HbPwcKbu8VMZ5Bwd9ZIyHQVnq0xB/fqRs9lQBkMPFeG8L0sc48WnQ3DnKmt/h0Z+UWR+GKiiB
wL2ingU4aziT5rVXXdiyT0gw+7fK9g+tXY8Liz5Ynj4qGJCpiEBKViBRoQGb9EBNUeWo4gS1ChZo
RfgeAJJfpt00bygOYmIkh2BozXOES75QAQWeCaPqQWBZQnihVTEGCqn2owo2uLV2PZF0qBmupYo+
xGQgbD8M1iRqHEL+RKzJSRgunlEVnJBtcQDiPCxCioc7Fa4IZfLZkLYoSV30jX+SKfHuZIov3LOP
pQpo4OQ55kPqLNg/98uYFEet4hzwwoZtNdKA2aqwh0HqI0/c59kp1llq76mjezZVPGTWkKu0kMgI
DIUHhwzJCLFBkCmpVLikJGUyj9XRV7ETn/yJHP0tQKM7TUomK/dK85qbUMiP0povGfkVMhrdcpZE
WkoVbqFk/Lbvi21C6oXn2LZWMZhEBWL49MiXhoxMqMIy/ldshvxMRo5Gkplc//No+3q0mZCr/vuj
7Q6+36F4rboo/+vzTX3r78831bHkQGMCvaOeInzpd6+jTsBLkgfjWeXgfviDrdvkRRgoR7rgBPCw
JPzH68iV5t9/2N9VlXgq/vnxxtbHs6RUChrbR0upTr/EpGmpwNdEJfHVhNFGLxcGFupwkedujGct
zK8iS57piAwv0iZuMEv7ppoSWiQDcWv61m1SIxMIxrxxDPdx3x9DR9/0ZndKUFi0fj6kOfGvXF/N
hjp+rfENotBJpMz4ZpddIIlt/MBhSQYieNJuZBw+OFP+iKyzBGnx4Vq4LnWcFVMOSbXgCoB4IkNz
j/7zjTz3UrPEDViRSwcYnpzOBScjqrGk092d4d/pS64FDzbyNxMmzJR6ePOi9ux7xDBq8wX+/rZv
20Puy01resfeqi5+GF68YiSOxh4wLC8d6SyzqM71aDw6lr0LdWJkAD40QBsxzuRCg7vZ0ffQzCuk
qmcvaq7DsDsHw7TsC3drDWQ/UnmpDUhY3mdTe4rgNaBMdx0qtvvK/msRSeuRegHUFoQAu7kNg3mr
IWpnJcU/ZX03Nayd/DG6CmyaVZDK9ZhVWZPt5qm5zdz2LTfGi+bmF6o6T73MdjYRFaJIu65i3xjA
JI3Li60b69n3sKFbt46KpbhaucN9nkMGpaivc6gbn6pj5SevZmHdeiXVO4ClWYA5V53WngIjW824
xeuZhjpHu429ke5z/5uluFFogDKP9AWbXKKoSq33RbV0suocuamqSqjGm3Tq/BVK96vTe/W2rLha
l3aHjaJ8NIwyZL8xvgEsVaTsOhDVupm8gWBr49bxjjrUcN9+2bjg6WDpir/gDwA/SFHplB70Y7On
O4e8doWZBqbgbVK0QKhl3S8bFsloP7p5Hu2ZfhoKH1h6R8WCGgpjRSw8vjV0Y5sYcFBtGCRxjmbK
6AmNIgJvQn/KvOTMZd1Wsm5qXcGyyxmsHTsBe9VAuo2sqVpxp6d6iN76zdxxfyxKtI0haB5cHlLr
ROJljFPjJnKRNOb4c+BpBQbAuNcM/x0BljIu62pGGrXq5AJSjA3p0Kuh4iOarbNLVkej3zU+1x1J
ef5f1lpllyxMGVBKVNwYRfZtYC24Knv2Jr4tuRezoKWrx3oLAowOgq0queqqWzWWd2ElgQo5xt89
rRsJbNHJg8WoWiWG+0Eu/yWfjAfblh+8fiAcBf3P02RizS1xZoQZzYMkOnkwJxihevoGyrRWHT1X
fZgd3Gz4Zo3TZ+cIUlLuwSrCaEPFyToKwm/RbKxpWakuE3xQxCTMv0anyXOR+nck4LiqA2ZbG2Fv
4o5iizjo+dNAbeyqqShLKdgFi3GoV04Y5Js4Gfe+lm5j4UVL9mzPc4HGmrbjFUVTb6xu30arJxE4
gpufSQeYOFz4znQXMD1gpDU2bknYsTKNrV8YT23FPpVjalk19j5inbjoZPQ0BSZ/uGa9R37FNZRL
uNe1bxorvsagcnb0xQoT5SO1Z8hdHnAehv6lRQDC7DRDLUihsNTlfThwiRXAotaj5Pc++v6TqTgQ
fuk7vL/MDXUxXEO9gY9olLASLfhYkk9jZWjSfiUMfNM+2b+O7BaoGdbPBGqiaJa8tv5QkuoYM5Ij
E5kUNzP3Q4i5p+1RdcQBpu+8SDXPW0QashGtmackFHdD0B7tPLzXJ0csenTCvI4xalmDuZKjdqK5
C0/plDzUocW1IKOBCnsbPP2QDdkGGwWUfa0AZ9NX2Hg1oEV7i0AjjSksrQWRWqFQ/VNOeDBX+H7c
8uCOphsuMQQM8XnfREUf/XPN/uGwNHls/++zyOJD1UT/D6MI3/nLKKKKFkECG1/N2gwVv4wiEjWS
KzgRCyYRLug/YxcSzgs7sR9Vj6Yqm/g5icjf2JeBIOYwET+4xX/jpk0RxZ9HEQ+SDFd627BMHT1L
ff2XUaTpJpv9p6vh6wBulRb7XmmYeSppDdTbYpM4005rLHMZh9kNqgFp2wj84FBR2zhBbkjjFogn
nUJlDByBgawgYwWpo6rcgftp80YX97ciHl8AfZ8n2qY5FNxTmdHOahUDH0WTx1jNJS2LV0ELsNGI
6auozHepR2SWZbP0TXHjCbY0g+vbALXqRzE6nwQKxk08lGTEyWHrmU4XG/7pTnPmdeZVT1ZXdqtI
L8HE0buDqYUoGVU8eZV0C51ynkG19Fjozoumyw4hYjpSs2rzmbEmaSt/tF7Kr7KfeFDFP+mPFqBC
AQsBmIqSvi5FNvTQ6QvFOiwV9bBX/ENDQEKsJnPdY/2C5wIkUdESPRaAmeIndiL+3gJU9BVZ0VeM
RbO9wFA2GsJXviIwDl7H7ASU0VF0Rh1MY6x4jaMHh3QauXzjyzpKv2kOlcjfKgOVG8QbuvbaBsfJ
rJZZxk2VYEgkj8siaEruRUjaVzn7m5E0wiispxxnXBY5xVU5j8WJ9qNpqTnemnDdlRmU+zwtLo1O
l2MdblLPOYDAe6IymmE1Mad9IeNNl1tiT+KMmCz/7rXZEl/wJe59kbKL5/U8ukEbHfrICdaYwAdQ
8r6GDczMrnxX3Ke4kjaccFAnpXO0WPnjehqq6BuMUCNd16mUco0r6jwb041o2CMJ8B2rGAYlMTZx
F/TTDU4NVl+1eUWSZ6ONxq5q5A2Nu3s/nbdJ3+1CMbOHbQNYWtnV6LHsGY2JSiSe8bSwNQMczdju
9lYWP1IifA8XcDsM7rdMI1no1c1u7IL7Mp9P9RDd1Vn3hC9hp48ul/80LJcSBDSZcJOio8He4K41
NiNMeYlge+RXzrHfxR84hxZ9zWvTJiA+7EftHTGKxTg7W3O2X8CCrP1ccK/t0vMc+LeZXZX7iYHo
ZGrWHWrEW641bAbv607XEYi8myCMV2XTU2g0H2qpfxNePGDOjLdNVBNNiSERmuaZ2oqXrAvQwB25
KVsC8iYmUbzN0VLXiI1W0/Dq+XqxFhkjjpwv8O6uaEFgKhyORaNR4aqSm/abWQq5AtB7Nwfh1aBb
j1U9EA7Vv6WV0NfCQBLJ6S6MEu3iC28bZ/mFzgR3EXr5W8+qa20OlDoFE1n/nn1Gyv/GnhQPaYud
K9sTwT7BmDvyf87rkQXywSlo96QKNTU2uFkmINOsmG5DgmsGfTLBc6z8iSwKEL4Fm5lml0T9c+MN
m8Hr15PLSzDdl9bNz7SnwsEBZmTq3bJtTby85dPkOIw/GSPVYMmTa3S3rl6llI8NmDxr8ynq6v3Q
1HjoerrnXIsmyGCPiHpj5Ew809yfbYzlS/JUWz+v3b2HlTVMnC1b4MfYSE6BaB6cvBSLNBa3bcgO
uMSinFfHRHSPSWbd1RG/i6zs3+EqXZmiPpPFvRrTrNsHE+6xOOp3qcGNwDNueZMcio4NHxLjVeOL
TY85jndV/5QZ1YpRM930jbimOeKoefpRMwVBl0HbW5O1E7WqiSZ7Mg+7gRkMf91p9Nptm843bZ/A
DuKawC6JBjnesi7Jj6xJH3yRv9Ake0UiZt/W1kdDpUxYyD0g+m99E93ZbnNPUDnFckk2xAax17tv
iSj3ekZX6IwzClTQCZbtIYdxzrpsYLObHNlUvYypeeelhHiNKYOyWYllLMXW6qNNXpZXdlYcI8f9
/Ecn+dJJdMaI/z6b7LPyo45e079OJur7fk4mNCBYNFJRH2PbiB4W48fPyURnyhCsKGHFfWU7+a6f
k4n5m2WaFB3AalW9M/KXBgTjN4w8tutQePWjJevveG+oxvnTaOIQ+rCZgUzbkPyBajz6dTRxQk73
kfKQ82iWxMr0hPHjXDpm6X+Kec5tgZlatHgnTK4e866QIKdAgowxSSNpJbe+gZvZJSu5q/XeAXYl
jXc+nc2y8PzXWk/u4Gpn1zDEQ/yY0tgwbXE9s0RzLqT8DEs3XiWZwXs1b5ixuw5BlxMW7RXtgG2f
fZq7JttredpWC53mVS4mEn5VTH/IBVo3uzcKFWkDTo6ejPJVUw7TprZx/7QVD800E+Uy83RlcdC9
i9VPh8SOTm7R+scsSpNNosH14YpPwMA1JKZi6Lib0XPC1dejtjLHZKknXxH5FO+F2+VEMrRnygKu
SjnmByfs7nWJe8LPaB2k3bCEjTVplzqW70POoVIVjr4t7PhzjuMX5p8Gy0uvZ/vBR2EvrXh6oJaH
Sa4OzwGC+r4L4482mI1nHJu0GuNj3vQyrVZOkxINndQ9kAIvBB3N19dyENrBKkdxsvHEb6PQwEVK
wcKpdpwbl8TgXaanXJmme60kmlpYubUVWHYcSbrM82skcvxdKxCTxX6mjGJhiQE/wpRoJz0kj0+k
JrSf+zKgPlqYybH1J73dBpk24X2cIcTUVyG/u96gUfw86VFFWXWgA8lBUxbMWNi6kaFdr+JSCjrd
3vOIVLJAl0ZgjlhT1n3uXUX9hMxWzC6DIRRQkyU2MyIKDaJSr3vJyaD8Wg+y+Y5LL8/Lf06vHwtM
Pur//fQiA9vWr/9aMky//vUEE3zvzxOMTj4uVjpBNJ1qLcPlmPp5grHGpHLP5uNK4P3HMfXzBHM5
20zD8DhbHAHO6xccpkMVl2vbniF/4K7/FuGL29qfTjAb5ZmDkj+TuCu9gby+X08wL3NwzPZ2f4UB
36Dxrq4KceAqYfF0LMgkxzKjrCUgGczl30WRWMU2c+mAMBDmGnvMNr4fkQwSd7zrkRAmHw2tDCno
7JS+MEfzAWX125BNFwcBwo5IHcCCwO4NcGIcWdLgeh6VaDGTh82A5rFY5dLh4Doi8v5pMqEvh69q
OKV/lJFprGulicwuXqM4Juvwxc1swudJKShNak1rr51QVZBXLEkMyFKKi62kl3IW+BFaoP2oMjXy
DA1Qq1bpNXXTrLBMvFFCsoiVomPrzjs4Wi54iD2ywtYmHUIOo8uWKKKbBGFIBha15+WsLgybUGlH
JsqrodQkBN5do/SlSSlNEZIT0M23DAlKqDOIVPpzpNSpzEq2CXKVq3Qr5rt6VfcYvt2g/B4Iy16N
yFwl5x8BY5QvaJEf0jfmC4LJa0Tx8JH1sMNKklMkDCRNtq5+azROvbIKHxCQzWqqYEXIhSE56nbV
P7vQtHCSFXW7KcCfzdRgEbx1ik06YbxP7REnVYixJ/Dwr3RG3pwn4Y48Y/p640KnXvnkNpaY66Fm
NUm41qKCVLiI/HUuGppDRZGSRhnaO4PK8W+QyUOM/CnQsyYVZ7jN4F+GJHkuarzOkePIJ/Le2W1T
69V1SFRo7+r1eKo8nxTyhLPGABPZqaLd+OQPFKGttWI8dfWcGsxxwn8b3UhzIW5p1T43xE1SePo6
DIfyQVAX0W99HkovWuwFnxYuVu7c2EeGlmoLfGQ0mYJCBydJb5yqS2zq6Kg3xhlgFT/1Af5qcKKS
9ZmHsbfUqu5Sq+pFX5UwOoL0R6eKGR1V0WjR1Wi1lDZWGfOio2ocuTz41FovElXxmKuyR6lqH2cr
IWmjqiAdkKub4qsfEmisY34VRlIdWagSyUTVSXqZ6+65qpL1VGWTaPhgdOifHFURZUakbXSppvzn
MP9xmOPZ/u+H+eoj/deFt/zH/3CS842/n+Tmb3zowYzo/y5Y/eUkt34zePPgVflJVPo5i371I8Jh
ZIXGzCkMVe/1b5lMBZVdygQ4yaXJU8D4W+2qf55E2f1BR2Fj5wqPOfkrq/yLSNb6xKjSOTeu82Lc
iSQ6OQEprH5a//KT4RY2BUX+r7zLrgtGnub//h/c4394YPAvgXKnHlk6XEqEOedPDwwNmwJLtmS4
Zg2Q7NtAuNb6a6sUEWYqDBQdbXC0FcLclTd1pyopHxyjxsjXkACifQbjJ4PtsWfMXPEZEktzIsBF
jEXRoOqnoSmZOd0QXwZT9DJs0ruSv3DJFfW6EBFbbAePnltxuaQOXdXhkZLJZvdYZePSiwXAd52N
m0e/HSG1fOPLfmNYdrvqsASuGkoBiVg+aozpntV5wBLNJ+6oxRL6yB30g1stY2Gm2Zc2Ej3Zl0hR
d8E+erjQ/SzgDNEp1nFRkAJCSoba+3d9e2ODbcZv++i59QdtLS9BNj3XigHC9gxTyRRd27V/lE4W
beBy7STTIwzImt9QXT8UMthFLhDNNAyPSLBv+RAmm57hm2MDflNaUGhIKLlYpFAYNno7v+hZpk7v
+MpyOZinlMmxNFeVTF46R3+om+BcjFm3KPTp1qm6LdMEdT+Btmg5b3mh2HpZ/VhLJt47bcLtncGV
XDrei9eC36Aqvat4SjWdhVeVNgUXVxW/v5gUcvfpThi+hbTPWt/hasgzyAh4g3RnuhhsL8cJM9IQ
6tEm0dPrKg3jDYLSds6sMwEu4ru6tfV6frahKn3UJGG5smKv1Ns7+O23RT5PK3NuvkWSBVvQeDXS
Y3rXDN1etxNKtU3xzpaYfdAwfUtx6G5Hc74yRgoAmpA9RT3X3/XU+G4gzSwTIgtF6u1pCNExAA1b
7ic3WeKuRqeQJ8dkXynT/H2Oy6fQ4VqUkdHEeoPRtXKS3dBR8k0E0aBpzM0tr17zFmNFY5HZ18ew
es1jiMib2dUQgGw5EpAUIzoPKXEK6XYW7uQVNOCN7lK5o1f1eEhTGyI+TenCB3phmd/hou4jm8X4
DANlMSVl/y2xTWhhwYBleGGrHGk36tEqiY29iQ9f75NLqwgvbvWKgexWT7QP+lfx1GMKYZ8W3k9G
zzzWtMvRIzg1JPpey+wMDFZ/cgktrDQmLDsCt9w3faSai4dnGRNHHoPyHETCXzbliGmNEL7VnMoY
2FjbkPton2afYNXoxcs+FtdxXZwTyUfWzJNrbCzHVNP2cxqy3g3CcD2PU7aJ++i7HBBS4gEu5Njp
t9AGtiN+2ARr2XKkUymX5RP8QmpK9ti6j0mr7Sbp0CkuXmYbb6aTst6e0pfUuusHKvrYjJdcc1Ig
mjH5M2MDbQV0OsWps7keTOv/sXdey40bWxd+lf8F4EIOtyTAJJGicrhBSTMScg4N4On/rzVn7BnH
8r1PlU/ZHlMgKaB7995rfWuH8nvTahCyk6Uet4aT9vQ8M77P0XwpTQ3PaiWAd7f4FkS9HbTyaq7E
c1sB8U5m86HvVfdYK6nZ3MnyKHLNNtxVOsfAf1pGfzbtyFWU7UJKOyBZIXKUIY0/lt1dhyc4nO35
jBrAWZnb8DDdVsc9jVHltXxEEbAnFmQVXiB/Gvx0a+z/fhlnG/tBvPi/y+Nlom9h6BYij58v34aD
NSr2sJxH57UO9x7Zs970olTF6t9fR0eq4oArxkCj/m504/XsWSQ6LWeNXF1q6Dx/h74tmKH+/XV+
3v2+fR6+T/ZAjR420SU/f54GvJA1aLF6tq2L1oZkh63ZfPz7a3xKXn5TfP7vIj98mN9dZIhVtdNh
3J3HTfdA9kkw7tSvri/DZY4F99jqpg2A9G303f3J9fPVaTwmm4cuCIPr9CBWO4r7S/iuq8ivNvwV
PPz9+9N/npN9e38yV52mFIY1vGc/fwn5sCzoCFXtTBvjFF6rgXrUHqMDgHhAPP68Ojxr22l9ajZi
Z+GkvUBZeY15dAOX8L9567d5q7yB/7qQDPL/86uWlKs/KSR54fdCEqCn64CQo5/JzvlzS0D7BWyN
CplTQh0oNH9ranq/SBkWTUudcSyFJn/0fd7q/sJ6AjTYIreItqH6ryh3pmTn/LA4WAjo+TmsTCi/
eJb4uT/fR00UEuyqjaRcMX8TMuZmJO9GofQFR921Z2WRYThslk+WWfd47nLU/I7ioDBYJg4pY3lY
ohn31sIarZKyA87KAWjrcnzXdG2zmFC9CxnLQ1HUrntzqAAheyMCC+J7UnJ8Bhnow1k7pj3g3Htk
/bCrlBtbGp/Ikz7wLMDMMZx9n0yPoUBPOab1bVvFUE2UxNtpavSlNNkIDfVCKYZTpaLAQeyroXZJ
tc1sMSOsySXKRbKdZVBRRWIRvp/nsNcPvV13FzGZRuoY5ZuoseP1IEAP25P1ZtN62PU9YUjtRKsT
Pdi7XdnvuDJTv5PRSV0zHr3JeCr1ilS/Ia/A/Liv+hhfxzJ4ibf5xSuLq4ypnGuMzlqJ7ap6mNC4
MpTVttjOKjgM9iuTmU1U5ddFCLVrsYp3OrDBJPmZVV5vTYiaTituyMSIdvQRXETAFrxvsSx+mih2
MCgTsd4CQx6UzgRa5yixndBbyY6Q4IRSQj1T6J75KPaG3b8UEvvZSADoQGNmkUhQV50f3DwV7nnq
OAzX/QRvJGdL9C5jpf5YhthiFjymQZcOJhJyxqRAhqZtkcAabJLU29fNHF8bmX6vJTGhSDNacR1/
5oKJ8nlRycvGluQNd4OdRyeE1vVhUYvWC/Dz7Ai/DATTKQ3GGkWGCzMO2B5j0eRBQvhWYTy4K0MB
/GVEDMtqu558q+rZPpXqHKUYRmyCHXVbvXMUGlIiJUps4GCU27BSSr5iGkRhOj3WVvLVMYrLUEkZ
RWNAY+DX07pVhlez6ECtmcYzs94XymuYsZGznT2T7MQ43ekqCD+HOPJpWDaKbpR06N3NXGK1g9ZQ
5tmlHTpHbVA4rQBxKYC3q3IwPA5QNGym4Os6g3A/KukXzVaeLBRe0F1u8ri/nEflDpDQS892ySEB
FsOgXIAIOKlGeD+V6cUsCn5bof4QFQi14za8CyfngsRDcr70yNwYNXVr5nqnUjefQ0fc26qG1odw
DtKtKKmdRH1D7XUj2vQUSZx56BEE54xydnpjzHyWIkyu207bg1ZZ43w+RESwDba4qBXrLZr7B3lc
iUrrNJrWFYyWndEWq1olMyvr5idrwKeXRkqxygjnXbPMwcdtyFT25gol3IS+B4XGU9sVByA0x8zQ
90zBH4YyxsGkhAbaJrGvyYVcc8OqK9DVN7CY3kgg9XDw5wy0bRd7bGoEOVPcgDgZKQ2TcZYewn6T
Tn9aF+keRsZ66gjp0rHMyhWXVYphcmaO52rgBKKjUNoMzOgjFaeghtJd5StgTbo2ZvuYDt4XBC5S
ZW7fkyV7NExsksYwawQR1PS15BLXYsfEu3Wre+Umd2IwjDUjiq6pDky08l2BwVHL+2EVFb0NuWV6
HJboVlPNN6fAbBDp7jEb4xBbrKJsOL/fkJKKqyrKtPWsO2964mSBVuawfO06mA2FwNJEN6Wsf4Ov
66Ptl/A2bRYm2612VyZjuRrwdnypY+VkV+OI9ZI1IkkeRTxetV68Kyz3AymFCHpGTkDE1HVWNDWg
g85SsIV0S/FYRIoTIWiIsOjaoyR3WReW2955MnWrlflby1K9VAvA8NocjVVPSFc4wtRxxu7N7pVm
vQzt2UzyU0ywl0HA10TQlyYTv4yyPeTo/LLIJLK+t64J+DoOnkJrVeaFpQSHuQSIqQotylZmilkC
mChoxjuDuLEkpC9dpQ+pzCHLEEDzbpYnT0aUNfNDYYnrWqRn7ge+hGm4Lwg1WyxamQR65phaSsxd
QEEZL9+WRKFpeMRVotFMdbovAbWFpnW2iU6rPSAsLn8zyVQ1J7c5llkkrTEeA+sj09dKlYQ21lgf
h+8Or+KulUltDtT7iEEaKxEpbhiYIUB+JrvV6X6RWW9KJvblZ/qbzIEr517ftzIbzpMpcZVBXlym
tjiCZIZcNNEmkKlyn8XIf4wHKZD/66psm7+Xf6LFly/6XpHp2i/A3nCOYeYCIvwTZVAHpO5SbnGj
f46gf6zIKJNwi3wvyX5r7WFDM1ydn8X/cSCRtOJ/oYAjDub3FZlpIbhnwqy7eIM/4cc/nhZhCzn6
NLjelY52e5Va2lIzHJH+IUMpYz2wYqKmX1ji2muGK7iNCmk8WnAg2al32ZZetq6L7I34gsOMmXHU
ewh3JgLcVW3kk/RaLYSIGU0wjN41spaPHK/TGr/PqzfoqHPIYO4SP7KIHorqrVsap6lWdkqSv1nt
ZKydtLqMUnGd6bJd1rd+RPqFo8LRTlNG3y1OVK9SeHzmLS3Mk76ofoIEjTaRlW8Gdd7NGlOSUtHe
0oIBKgGO+9Z1nmrTQbcnvtTldMT9lVtByGd79sC59iF0AmqEd3AWfkaxtEqZ+VAeVM0VdLYNHYRy
rY/arumrizHLx7XoMTVnhtJilwPpohoun5YBlt9Vy2PRjUd4GAV1QgcOMDPbQIdmEJs6Qh1ogG0G
NwcXuBOkQnslMYqAFppRjenQ9KmG52IKX5hF3cZldTXNFEJKEVqbogNTX6rlXjDqIKq4Q5BHM8ZX
hTmuKnzb2/pTzwxqbW17Ht2W+bqwsn0HJ3mFR+frXACPVOk9we4KqcVoYBjR/Ip/UOB+0D5gW4CN
GPbMNC5TVpMV/mSp8IN65YlBXMITS5lAKejy7P5yyfL3QinFE7/Pi956WQr7CL1hDe/1nDfpgVDM
W0Hs5LrFhtj59Cya+BLSxLCgds9AidU5GedQWfvMg/aK42Cfd/CJ4MnHSItcOlhYE70jo+r44GQV
SrY4YyTPPUDuiEq0Kdh47zbMQA2s81nCA5sKCsUoA1PY7c2c+DFiVDTG9JT5ZatfOnk+EMxuuzti
ZtWn/5bDz2mHRjfnr5fD3VC8VfnX/o9nVPm6X1dENDSqrUq/rC1DHJkC/Dq2RpNDn8UCgcZg+9O4
9L+xNRMN08aTS24LrR4MdZwsvw87ILurmm4yObBVTpj/Lpjq9ydUE9oqahtXIx8IeuXvu2f9MAtK
b0ucB/UQMaOeb6pu+8OX8ieDjm8Tk5/bPSoWLBNpJ+IeOksIpn9cdFHgGmmadfXZEMwViCO0OjqJ
saGXxjlWCcuVfe8pu14+GU1xHDtPrBCQm4hDn9cx/imdAWa97pCHNPF0mUB8sg1YahIBNUgW1Jyf
Q9hQeaXs587bKTCjepWm6gxFapE0qaTbhTPMyBjOFDJvzbcgTyk1eQuQqPI5e1UgUw11vU8hVXEU
w9uRxFdR3wWunu8dCbTSIFu1EK5qibrKWbG2icRfKfQ0Vz2eephtGaYVBMpwgYxuzcd7imx1r0qO
lqHVB9It3vPOi6nbTc5wxXso2VtuUaPhlDyuBjAX+v/LUJK6CN2hdhMQ3mpHfZvAeRmS66WZ5R2q
XzL69PtWkr/0pEdoCAssnsWXDjjYLClhTVofyxhumNc4BuN4WGJh1aJGBDXgmOQtRwDHioiuQt8Z
17DcIva44UlJDcbKUMrYvwuESP1HKglmbgKE1AFqVgI3cyTlrDYxfOWSfGarZIXUkoY2pUMZJLXO
AWAEzWHWy6OGRNDg17mqwKlZAiRsoRNyWSCL8kCuKZK9pot676F9OOW90NacWA9EgRKarTVAL4G3
Rf0XAA8bD3FDUggMH1PTrb28fAwl9y1s3JIDhHZoJROuBw63AImrE84pAmzc4JhfXMmRc9Pkw5Vk
uciEMdf03h3tiA8TtIMKagbBkFhrYOli1E4+mt91BbBu1Ls3TRLsWrOXuNNynydZ4Ztg7hJX9jIM
OttmBwPPVFRvbYHFowa/HzG2rBWAebERQ+k149to6hu/cqJhXYactMy2DUZ2QMw0Od9DeqtjfuX0
MlJTj48ZhBNa6PZHmnovlpZJ4De9eARgkLrDODuWyOnXUQrpjHXlPpobuAoWws3MuIpyx0FFFQtu
1ullTHPuHtFAahd8H7CCnzM7ZC7D/j2m5bupCXsztup9FuX3HeDV1aQwUR+j/kiu1UevuM8KNqiV
nUGyMMD0+tNnDqKDQ18HqD9n+/qzoy/Mtgl3Nd+Gx2iwubMisayoK7jLvTy7z1TD21vLlJ5tQ9w1
DeropX7HpbJPsjoHw19/1fqmQaSakF3auwy8BP56MKSPptn7uR0CYLEfCPmatnM8p5cFMsBEUW7a
IfVkpZE35H/Ch/RH+P8KqCi/9epq3eWWtVq4fyMi66bKOJqwAajFyFJxgBPxbEra/Akl/lPsWu8Q
l5oVy1pD80XbFHm9HuP5gnL2VZkAv6JuL6zhORpMpN6LcdOWWpDW2k2lYQbSlJt5dsjViR70zH7u
yPCrNPXCE9GZFvt5LuLj0kGCHrI14cpfhxE/AoAvP+v6LChQymcNuqCuhbzkWvCAxpOD2bltSJkC
r+7HiUUorkezLHWVVagoV3PfIuj3siDUu/eOyGy9mR6V7t0auBNH29kYZgqJJcRdTWsoFBSx6TCT
hquOs/PgROO0bRpIiWmEkN9y674+ZSRSFJUJ434hd3osI2QsKevWKqvMmvBSazG2/Vy1azenLnON
4iFruk3biych8oeuUZ7pORnX6mAtZza8ZtPmzWuja/u4Nb5OoXvVLARnE5zrl4VLxzJbNJ+kWRdr
E5LGYikApxXufIyK+BZU51uqE7QjsiG/aJfZodjsGeSUwCzNPn4udX6LIr5Lkir1PUM5DGP3RALv
cusqRrEJ5XAOQAsA3YS9Z+0Bi/EHJbf9bqjBQfUE2tmpMfszBsggasnr5invHkOvG3yzd4odT7Pr
N3nvm/Y47katF1vEzhU4imreilKNqfYAQJAkl/CwJ9ZOoIDaUcuekSTddGYME1PbpqMsUJWQsHis
dout3VFqPyEevI2s1t4zOH+qPMixZrSEp7/fdv84w1CZV2L1sTnrOAh/f9507XyokSQ0w7kiiA2Z
aOre2bxri9NC+k8DnZ+rCDkv4aRna4aGbsNBKCxPXT9IJrqumnpddOLshlhTH5p5Eyv/MJP5p0vI
P//hEvA98lwMuTjXPJgzLfJ4fDHr27//zv70IoRaQ+amj6fLquvHi3TQfyAjC3E22rumupwUstT/
YV74x18LX9UPl5DzxB8+Rz9UEFjNSZxN97ZoNksBdURclc5rOv/DleRw4eeq6+cryXfyw5XyeLQK
m6SNc0OGnlZiNdYPAxGiYzAWpBkv/zA4/OMgVJMAfwuTOxJNcI0/X66P0mlpe01wAnrSerpY9l0U
X8zFf2eNbwMxjar4r88aF+/tn3Re5Gu+nzNIi7c1m2ml7YCw/PQX/nrOULER0pOxEK3ahu1wBPku
jyUS/rP4l65A13Zk/f99FmZ+psWjq0J+hNsGvdW/6Lz8kYJA5AR6J/o4NjNsjgM/3x6OVkeqFi/9
yekcpg90remTx3ruO43pEZzpvgL9F5umhqemwW4xATt27jB7BIrp6XOia0N4FYfV0Ow5atcF21kq
1IAu+uCca0oqcS5FfaqNLLlTqJs9zheLQyt06VCgx+mLAQfwei5BoNRqqGtBxLqL9b6EXOvr5hJv
eoZmkd9YU4tHLFQKmuLaZ8pzEdNvronSXfRp8Y3B7pJuo5dToh2KQizVbbSgVOc0EKaURShZtp4R
0ZhxygizWG/7bSXSrZLNTSCaUCP80tYCMTXLVs3s9gFp56DtMm+2l8DohjnyZ91bpiAfIHBjgQgV
2gZmrXR7tV7s4zB3ceXXemXfJraND5HmfAoZYO62Wh1n/W1m5Ix+wCPlV5Nux/q2cfjnGaDz0yJM
7NU1bXEow1NcOfsGy74afN6Z/3VHTda0v35Eb/vXMukIIO7+2BCQr/z+oOoqLU0kzjyO8mGUj9yv
DyrHfv4IJgc9gc9m568PqvsLAkdLJ5wNcqr92bj8/qA6v8ht1/aQTNqegwby3zyorNU/7RtyaK26
DMFZD5CBqKb6u4VcoYDK2imvrgbApcsx1WsrPZEIJ2/uvsjPDkUbAKrcOll1cx5i94sZxSJo9YKT
KWNa3L2Xjd4+53N1yLvyBjWj3yucII00PKLHP9YTzNrSEdvIIGYK9fNlrIrHhRPJZ2ev4tzFzM2u
rq1o2WgF9XZMrMrA2YcHdUD03qfHHs3TBDAYGdtYam+6gqJqFEyZRTS62h7FQJscKMV7kpc1hUg4
IFJgworaSG0KaNWoQUPVeydxCp4P72Dn7mLeGRy9k1UIBXzwPS8in6iVUUWpDC0aPvOLxm9ZRqQa
OZ/5Rvln1pHT0nzwPikaWemMS9B80jWI/mIamMPcGOyCGAQOrQ7qGmIYZCqJB6ADUkcdVqHvSHhH
KjEexlAdGdA0a73rOT/B+mgWZjcx9I8qHO91aCAKTG5UAjcjBX7J1NmcS3+EHjIJ68ob7XnlwhUh
KQ2WbfJKfs0FeBFlVfXDEQklaACYJG4MnKT1tJtxUPY21JIybE5o5T90pmaFInZ4MQ/QfHcRtBN8
PqcC+gli9zeY4TcegAcdOgr0VT+GlhJq0ZWNLZjAhPo2h6eCrtTPydkVcFbaHnLkJPYp/JXCsaEz
0Qp3uwPjcEJCCjwIqfdRMkw0IbgYkFyAqW7pHTCe744hpBcPhX+LDtWhHq8hwZSQcpaquGIUvPKs
5VR2JgYB/XER1XGEJGNiSeV3CX0UuiqkGSJ9Th3kmcWwNgMkmtRKt7WtvuhWunEh1ZDV+RZVoGvk
rz5yOIS0jPEKbevCuEG7QdoO1JtBj/25SU+tjdkaKk6/KPcWlJwcTbzML/DrrNh3cHRcJAQeXB3P
pB9c5o/gm+8RTWAOVTZhbV2iZNnocHnUdAQ9OxP8Z05vI29i7cHwyWD5hDB92OHXLfPrCNaPkkwX
AvZP1aGCdef2vXX0G+aEN63EBIXRaF07kIMSW4AQCs3jjInhqs3VdF9kOaQhmjfyFDfyfVlTc4Xg
9FJo3FKDZ+7zsVM4qIjarzvv6xxNJ3Wiw1EYl5zFr6eGzWuqaQnkueMbTfPCYJzbz7D9ug63jBfm
jWKEL4hJjsKb4o1bDHfg4QJDMYgWNeme6cw38csBFjMKU4o0ALDWo1IyZdaOoWnemG0Cq8wkKDCd
+I2DUzuntbLtTCAD0DN3bGnKWumcdNNM2rFPh20WErwKu02Faxxwd/Db0hkkekN3JgR8Xpdmd6Eb
BD3GcwfjD3trmF0ajUy6FkFBqEWtM9cWTfGl5ry50RfFl2cXPw0BoSU9nvLc3VfMxNm3kVuWGAdX
4QIuiQypdaXq3lqP8ZHQgLnEuoc4p1fWhV499Y5Jrq2OnFgpltMgUTgZuk2jIX7P1XdhXZIynjDZ
LtPxxi71h96zD4oV7VxlyLGNlOT3JOJoeTQ1R5MVoFA46ng1JDK9CZnxJHWz4RB/WTWaWNH/vMqy
5n60aYzF8XQX2Rb3uwYMRAED5WZXZDbQT2vQ0xlteu+NRbn2ktij+6qIy6Uy8osY3fn6v73/2yiA
M+1f7/0XSRn9ybav8aLv2z5aNXr2FnU4aLE/1OeGhrFB7uJSxfpbeW5TD/A/xwF+b3/W4L+W51Tu
smJ3dKapDhK3fzUYdf6w6Xv4fF0cD/gsbWD6HCx+PCwCLO8RTTvWiWBEo73XWeO5X8q50EhWUuAy
uczzkmPnZgY2KntifinyaxVSsqcaeUG+1tSTTOOoIcGirt1hRa/axZ+dEbXPQFaNEXRdeBBGDjcb
1O+SXVdF9liL4gZlyMskdEKjDeNEWjoBUqVFcx8eNFqX+A1ONjEc5KNIXlRM1iapZf2wpaue8dxl
sy+M7jbWwqfag290Uakpwvc8LqLpISOxcF0kw7IdrTaroZvxU+11NeBZP5rKbO9m9EeJmYQId3IR
EH/M9g91/k0nGTKC2YNDi5wfrS433USzuCrI+kiVXQLgczW15ZvKs7XNUdpgSSruk0j5oh/rcj6C
vfYnw+HryRd6fnl4pzXudQG1w4NCni7XWm/fi7F7tN0oAEDNtO+/B/HzQTQ5vf71gwg0sMdN2g7L
nxThvPL704hOAXEmoyhp1tRdSf/7tQjXSamAS4MV/fNM/MNp2SFvgqKSvGI0wUhLKY2/F+E2ugfV
otMGS9pEqfCvinCC5/9YhCNSsKSfiQYxb+Xn59ELFbwsqL2uOGZWG222kTyThUOGWPmYtIYb6GlL
oqeO8SXPHEzQVr9vLO1jrNSCiXghDkKS7osYD0avDruIgFKL74PotsqAbz+AdAHDnTrpmwiZN2sk
ma/IX5F0r7EMHPRNGGFm78wGcm+1QFAaIeU42XI5Z8Door5it3oMU+OuKJLyypG4l0qCXwaJgFGx
WhwKqDChGWVA+bxrN6MnBKLqnWngsIl0RdyVjbfDznuR1pBWVVKclG66YW+7mqo6J3GgOY2MqyKz
2Vpqh1vCmi4Lp72NOySf7VwdO8tZaMAaADq9eB1G3RcyYYjaiKIxcJa5XRsJgrCkuSWpfBNPQLY8
k/yOtk32Y+68aBoBgwxGTiSwwj5ZIoLm8O4MU7GLq0Tzp2yI/bzNcEAtN2GkzTu0vHw1QzJe5AmI
msKKTl6dHBhlSVQNyXu98jVNczBgTeOsIuKFxSISEMOIG5SRcQjBsYkcHmyG3D2TlEx3nz2asBEw
Ab1xk9YO49evult9MK8PWKUmfhRTxVjrXmMQPOsupEg1nR4CjKGvjBqJE6ADFtSRtLDcTNb23O3c
yrthhFmdm0I7NlM6BWqj1UFiIbFEMa1vF12/MxeGYdno4f2y7lmxvEMzpoAP4dvZTXhSO3KZ3DDb
hEl+QRrhWYSV3+cky4tyU03oczUreaTINbflREkUyiGbl9PQTJzj3MxP0PI2ZkmPVsz1vjDGGypN
2pCLeOfKUzAZ+fvoNNpVCex51WjzOZ1cYxVm8dEblPByNNo3rQ3B6reaDiuO/N+YEJGgcQbPCuYS
hZu6bKzMCoFEjeTPjYpzqKOqu546bCYQA6Le4wvC8W/Z7le3dsVhJF0MiDTjFTC/WJFmyxC+EbbP
HkYkQs3KnckWGDTw+OD+7VrBVHWw+Ipd4smVIl7ujbqCTaBT/6MLvXUb+6LX5ncJ+/W1zLrJoeNe
2MsI4n48SR6F5pGzB6l6gdAWf02X2gOw6HydHEDuZF1hlB69jklRd90zXeVBPIZwL3wEyTXpTS1b
Fwe3JjMD0kOYdUYuOCtsYX41EW1dimjepFr4kdfhOW9nBhdFrwIIHKq1PQAHJoz0otFLNVhUu4Fg
SxaLNvpOWB5Eqnd+EurPKbHIJIX3/WXMDPNoELn2rqphdlepZr0joH2GWJnHTCj+252+lYm0xf96
d7p87br3P+vj8qrvOxN1ouTDYWcwdGTkPyno8LnKf+2COJAtpN92JvQiENQNG8IBihLmqexn33cm
7xfwtzY/kSEQ1aT+r6J6aUL9fmcCloDNE5QpvSEJbP95ZwLEOilUgOJqpu5ygngMUwaijjf70ZzE
AQHtF/2SRUYwA6vNHrRBQxpG+znp9/WSyFhpGzjRN/BoOun9gti+Livk4qVhW18mgCuI4wlplEBq
8EloONvdZGuR9/EtdmTuOoQSfeKYoR+S0O3Ra6iEjc1Vka3Sxo70heZGJlhrl4pZy8r5jDQpdMLM
AlPi41ahC2CzHzLyTz6jUGB1mtZ9rmEi2NA6Irleg/VW2ma/qwmI2E0GkSsfwnCnTZS6ixpEUcrk
BiOHCg9qig5K6OZvCaI638NxSDx4PY+Bkrc28BggB16MRVMt6FJRiFpvAGgR7y8FA1V1JozQagAg
WHP8YQsFD27pfqRlbq76IioCp+bPcNIhhRuHdovhUlzEEcYKVxvjVZQQ8w2ThiZEq1COOqQC6ejK
Wr8AbLJqVcASg0TdaHOi7shh54gLAOBVc3O4t0sVHepWyc/mDCYUVoUHL7Z8z5zF2hq5AcotHs0t
y38SqLS7VllEJrlpDfkZvhXgTDoIsK30VdE0InAVDAaRa7zHnVLtqLe5LUZCKQp28IDwRgevq/IG
0DTa2Us+rDWPTk/cth+OCMNtTTQU2t907HzRIpnOe51UuaroDthrUl9X4vTIeyb/BpL+IRPjOhlS
ImFxpK4sR8zXnhdaW+FVRdBJP0UliiwwWujGYgjHoFxa3qZrPOVlRthOk0oCLtkxoIGjVYU7ctXX
I0RBxrRbLbeba3QVCCgj0V87kFxXy6w1aIJmNA/sL/lmUb0p6Mh1X3VQC4JJcwYZd0JS4lRmOy0n
34JxQLH7b9n8VtT/rdDuW1G/em3fXtvXP6nrf1DbsXqC2DQl4Mpj2ZNhcb/W9eovLJkQYnTwl0zD
WCJ/m4IxuQaHyWHgM0qOUen31RP1ns3IyuV4/OkW+1dTMDkH/20ky/kADA1+VRc8KKo72/jdKduI
NQWFaWGeYiLMu9M0Pf+wm/yZ1E4KDX93BaYHGFENQvYwLjp8yB/P8UPYmX1oTcNpWKwA5PPHXJun
PExvrLb/oJbCPNYmfmFiQ9OUcq873q5t0mBwahriil1tK2FsS6cFA6repQMhPF39VclpK+neJWhc
XGl9JlYLATbaiI/80hj7BuFR0fEoTFi2Iyx3a4tTw7wxqnkBQqNa+ynuQnDMFBgGwzQfTIFDSnSS
f210iTRZcAWbHeirVo2UpzRH5+Zl5pchnopNrzkRtN+4kekUn56rK6d2lCB32yevZZvBB0e9ZpqC
ClJQDutVv9EQHK7mtoSNkLzASb+0dJ2GfjFfMh5odoTs7MqyX/w2bO5CK4fNmBwBxxisyeWLogoM
Sub0AUz0qp/oNHbFsmwG0/Wjur91UpKnYeAZeO0zVdmV9XDoEfKRvzVfT5l7SAmkXUVLC7ghOzSO
8xpqI0FRTrqLiMEYsuS170KsLY5JK87dQce6UhZeXgo/piTrsujgDc6uaKxLs2xIc9DHY26Q+VQY
sDCbnU08Jggt7yFNln6HFvnchlVGLmF8AWrhuW5opcxKejAV867PYYoS1EEPcIEvaZQVHAgCBgc3
2c/IplZWikYqTO0tMjhidyX2wPQCAfyB3wV7RUn4H0SdA7P9tWeOj2ZFNlZsnewOlVO/EIpk3sRF
iFMkLLaOOR5j0e6rWZDAlj7GI3iBwhMUkkAk9fzW1vBF92n+CA/nQQudRzscNlVLpsdigfRsX9hw
2bp7b6sY3XPFhwcfSGbavHzNcieYnXjdhpxhs+kSi4q7GpqoXlG480Nd5OamE64i23nhKSB9OX2O
wpCxUNenG2LSuW2aD5KVdm7PHmbUL0OrPiuKets5SL6yMIVv7q1VK39bsvA6KzhJxnN0yaQ022pR
jaBRce5iwpuAgsfrKCGNUS2KN08D1qGwTxID6VhHVyo1k8Sm1q4pti37NvXMp6HuSGDSQekSpMLT
k4pbVUsvlKF28U6JxrfwpK3IHr6ZXIJhhhnRE2YoMuZtYli8vMZiRZMqEJ19iqAscZazH8jTBEnb
hO5b6wEsjxm6V6uxtgee73YMaXzNCgNuEJPJaWoT+7Jh7OFDI2eEltXkrygZ8HKE6D4GnZYhhqIG
/WJ2q7IPwUe4Nk31YiCpw7aY1M/6qm/aCxybV7VZd/tyQMSqGUhbNb3pdrRS0iBKhksKNUiQWV1u
NYqIcFq8YJl0jQTrvA4qjjlsw0l+5eRqTutC6a4X0hrXYVh/sZb5oQ2NVydrdqxvxzTWirWnKYo/
58plCDpeAuYtHEvWtO7zqritrEHhUXXC/HHIyhsx4o9geHplMoNhZVm3qekbjjb4VV1eOA2pfTjf
+e/FdTkgWK2ZgbFGHSLEizmWjXRM1/XSX+apso2t+Kjm6mMG295AGy28MOekm70Qk2atugSSlhva
F1pPNnZoJs4bJlgCL5cGpIfZiOIu0wqxQXwGOqFK1gTSEWDnLhma5aQ9Lm52MvSaoX93rTVgj3Pk
amBG4NsKy2fJ2+taOASRYbf7fB7vbaW+A05IVA7heH7XDnEAfKtAcwrHQah2BZIBiSoRlx+cXlV/
HrD3cjnGo7VNbDuKgJncOwchWxqTRkaewJaln/ZMwxXA4N2VhZH4lPzeYZjblOlcdCqRmtCbMNz9
kOlkgVbOndVUMOnNlANtoaMHnc0w5BDe3NnhfOeW1iLZFmBWhqrbkI2srRwxbfoZVnmtjuW2mptq
nfPCVTtaw1Ob5O5GwpfIqEkEiTZm3O9MgP8rTgQbwy1afy6qZzmnLQWAe2cOhu7/2TuT5bitbdv+
yovbhwPlBvAibuOhyDqTNSmxg6AoCnVd4+vfSPrKpmgdMk7c7unYcsgkkMiNXaw155jnBEhzl9bz
nRwl/oCdwimr6K7PVGKHans/zdNADiOQ5DLIsEmjEsFOKX+FfKnRiNTrL72oFK8qEUClEQPdjPsK
Ya32RT072gLVmFZWL9noS+TPkD+/FvWoG1JiF2d4HfVDW1PEuQj/RpGl5jnHujApTh1VOQhhW0OM
V2PTrj7eBbzK1P7eZvy8Dk4ng5I5r/37TUBnLiQvRXRts+zYCvWOWenSyvNHpsvGGWebL2DONsNU
rTIr3bRqdCAsHb13sWemOhhBiwkovYqC/lrUsq+RGUu0llOEARG3AiwLr4C+WCchh2zX/joO/2YD
89snRJ/DVDBncZzlhPv2CRl5X8adnRankeTncL6Vk9yNysPHF3k9ov7yfGzcaSCXztkuaCpemyFv
voeWfO05T/vhVIVRCzlH32qcEx05QM/KoRV3lDR8kaqsvCpsxqAtb0dr1J1yrpioAJQvSY7Acemv
+kizb2hIkyY6nCQZIwCYc5ZyugeOUYanmFSmKaBcOaq8NyLHGU5Y63JtKNlT2mU4WkE2L2PtBK0i
/Ah5uZ922rPUqKuzDIlA15p2ik4CY1lr6wQHM87piq1NJLb1or7EOogX89xgkWNnMrPjTFUPofcs
bWRlTI5yhDF8mXrOiQqFvcjGT63E4X3QK/ltPRqsH0p4MPLKWLWi6jYCXNtQssQpFa3MBM9sJasX
UBULb1rQ+Stadgjkpx5eIJ4l5sWvloS+2ByVzZzoXzPihv0ChDbeTWhDnPsXna3HxGvmoX4vvUnK
N02XG2hEpl0vD08ppMRnoEtrKlQ5JtHoSMOYqmhbr2KthXyoTte5ENnJ7hVHEcu0r832z07J8/R/
w5fyN2OOUJFfNs2v9XximTX6bGhfFJsKyS+jLtCksuDv0KYp6pNmt4RZVEN2EhL6YebTx7AlsJgK
nquIybNibNPMqEeeCip3aNAbNWyPHdXNcVGPRml90fQiWrWwvVd9L3NENlR8y1gHiJYbLF8uddiG
LOreCKnUg3bIfoSJSM7LAtJgfRPm8eQqUVuyGsB36YCSFrR+Rb48N6V4sukmuINCQnGTq3dCndk7
IxqjkuyJsq2BGBIr3YziS2IJ8K7qd2FOZx8A0wDRY6KYbgM7OZhEhNWldoN/nhFSOf2s3hgDFvIk
uiHx9zo37bWYuy9WSt2afaPsi7pnL1gPnK85fVvnEgbRj8DCVVYOIT1JjAm3srWviiZ9UaKh9mpy
2v3IhGS9SJMjTSVuiGYto0wAlIk0gLSXaPD0lHgLyxr3JnbEEcUFyzwJYll3qyHos62JE/f8pI3y
c601T4UpfCz/hOkUXjqkFyV+ILMQq7HUvciMMXAXpqva8VVaSel2thas27MvssDLKzY0dFU4l/Ay
DpJ9NdbdDyqsAdViEkVoiXSUhFywvp4KKpM+7kG02jpG+EDrkVIMKm13PO9Q6QwcJCXwU2V8KMvO
CSWwZJHuhFG5UlNpn7OKRyOdfSWDWtuuKM8UNnmcnnJ2UWTBuIIy5xdNXiFKrxMvQz4IHmK/gE4g
opXEBQWuUysz6S5gPhJ0JQb0iMBSNmHR7cOxPhSWwa63y6SLrCLob87MnR5CFXhNVKBlSu07JptJ
xtNSjUep5ZSQCTfRcr9EBQRo81IYvpmO7GNOeKLEvCpJ2zGHh0omDDaXj8LApjIF+iGJRmT0QQAj
U4Wz0dJGwqcaFGvynr2KfcMG6nrrgZvaNAO7ELM8q3+puQxBo3yytH3ypmrvVKRqZM+JXaX9CVwH
9sxjXkzuRO8jGC/S5qhwYvl4qXin1j53+t7ODNq7lVSFlcLpgpmhLF8U8/swIbw5FOEXkok+vhCu
vbcH9z/nICSBugqrxkQn8K7hN7bdQNLEMJ0WBYIJBqbWpUB/a7RhuY1KiTE3DfuqooCKsUQ5WrVl
kFyNF3hJKEeO/F63VaQfyPmupkKD/qD19zBFL0rZvMnYvnHqweul3kA0I6IS13LexY8FTgApyqrr
sE8HvM9Rt8bjsjdwAbOx8GdFHl22eOui08wHW7VvqgV4vmbseq3bxpq6h06zNSr7YkzDfcOybUrp
PlVJakSeRzAfScDKQ141fpwF27FSSFLA59YZ+RNJxYabjeHXmqCLB/Ucvqm2WvjJU/213vLPh3qu
Zb9Z6Om8FHETWNPJmh6j5dts/Yn5/JdLx2e//93CIUvI/0SYzqfYuqkS6CLa3SfD4uNRId6Nv1zk
qZxCkDgZ6mWMaZnHJCNx+vgiv1b0fz4lxCRsSZVzXN6vT2ky2zFqdT4FhBG1e+7GnD3JXTyZn3wb
6q9j/LX8RSYNxnSKX2xNlXcXmpOYntVSEVnpKM8sat5ttgo8yR+c2H1wCudhK9zh8O06dqP7yX/K
/Pkbb3S7+YzZpp7rbO83gG8X/HcbcRtWe2WHTCPdavBkV/anm36dX0Ur28dQ3ayUNc95hQTPQXnp
2yjRfP1UPH/82I3f3cXbV/69QSNoie9seO5fpq3q0+pc2ZemcwH1MfLWD4Z7IHR+bZ+i1bQpbozN
beChJ98w7znLurSd1qN05tkeSaKbYt1eRA5optC7Bzd8As68Nrb2lmT2TXOXr24+vnW0//98gG9v
/d0DlNQ2ziopZlw6MHxW7Uu1qm4VD966R4q4F/vFKt+V68vng99vDZcDe7KD9L4DkuOy+PgwB74H
7v3Hd6X+Wvz8OZD/mkPFu9UBL9jQmIK7irbI/91lk6+DW+gnKWFfDrJfp3FpLKytU71RHymk+R9f
/zx8348qQYft53v0brZhqpHmtpqnk7yUvjmO+0VKT0OPx/fj65xnlY+u827WQWGqDcOSgQEPQS6P
z/K0GcU3MohqGWpTtfr4ar//qv/6VO8Pk1LO5G/USX+KaC3NwXUVXv3vLvDuzKdNFuk/OQeo1Nir
CXVA2/Q+vsInX8yrN+XNMiDllVWYyFZOJW7PPF1V6pcF6NXHF/nsOb2b3Fola5MBTCY8hzMIO3Pt
KXE/vsRnn+PdAOvLpe2JeptP4zC5sTjl6eQu+eXHF/lkdJnvZiURhNJMcY7VAKWcbqNfyLoLTetd
EzlEMqrIZeJPHt1vPxe6VmxL8A5s/d0lLXRyQRV3/UnPfzTJKtUiinzrjz/Wb7+eN9d499Jkod1K
pAJPJyPRqd9f5fknVYXPLvBuSlzSfMKnXg8nmUmbYjQ2nE8e0+v6+NGLf15Q3ozjKKbpE2SMY84G
Tu2Gu2GTHjkiuDvEzn540Tv5/uOndla0fTjXnD/1m0sq1P+UTo1Yo75QGC6YVYkHcWjWPymHZTs4
lws4Y5Zuw89dhDJXknPd+edV/fJrfantOLUT5+zPnbOBrrb+7PZ+u5C/nXLfj5y4GWUl4KVTLs4L
ueS060zfForrpGvdeyicnezM+x/yNw5nzd28hwrwyewFW/zjJ/Tuex+kVkQ1fO5T5w0eitfFUclw
32fetX0SB23de1/VVeAUVGxXOD7W+J0/maE/u4X33jrs6ZKO+a07SfvSIeB+cZLvxkrxzH3/Mm0q
Pz+Ya+zSP4jNdqd1ehF6ycsn4+T3S+/fq8S7cZJijiFrnqHZrKYVrAwnPu/qtql7O2yn7RZtobOc
wAE+AOv38lW1Ni9hvnm9H23Bpz3+Dzb1X27MXw9m/3hV/n7djXdbAUuy6Q0VTCm1r6/FWmTetFpW
y4FoAucZpd8qda1ttaGod5hc88632B0UfrdOVzcxgNds/T+bg/+Y4hTeub9KvN4T6tuXoiOp7fSU
v/z3fx3K9v/8vyJ8yV7afzbuzz/6l+wJ+yoVa53mNdO9fF4DfjbuFesPW8cSR1dfnCGvvIE/G/f6
H/BrqOPiPCYB4MzC+atxr746W1FEYZozAbr+W4LcX1coCpxnjiumVY4vlAcJkvl1Gkwss7XGwk5O
fe4vBsmN0VqvH948mMs/B+dHgQB/XkUDT8nJSCeLy+AZvJ1sa7SWmFRx23VlEmdeackFAcaAuYjF
VFM/0UiqK2dVIZHAKtwedqabLcF+yNTkWq6iqywG5mhE8WGU5d6TFcmAGElUM+17Djkhr5qab/sh
IoTO3lS9cpCX8aqd1WO9lPuJZEVMuTs5SYE9DFCqErkmmOOsDAJyPeMjsr9Da8d6klKcTzoCAIBK
/YipVDuIg9jSA8OGbBvw85MJBZH0ykDsRmlhGz5OJibAlnakTTEC0CeCr7QrYKuo+n1Aw2RtZob2
qOYwDEm2o+ompxEl8b6uMp++UUqdTQHXYKVAzkK7CpItzceObC6NPgTh3dPa7FEc4QmMiFPWKs26
X9RaAOpRs3UjLcJYK+UI2sKtFIQjNcrOvJsDR4bQe0EIgnTk91deS2R1euZ9lFKxtkodNWwfNOi3
cCo3phVvtExPd/1UC+uS67XaozGHJoajuRxKFHDaNbpNY7qMFDS9dTjbe7sR5g4mTPhVFor+QKgf
xudsJkSqK3p9a5UQbOlaGuOCK28IhIuvyb4rS9SwAtuvL1FCJlZwimirUa6rQ0oug2oMlMR70+94
5ociWNqnFu3pNJM5PU+W6th1vJWAs/jsubBR0IC/BvCzS+Q58+1Ssa9D0L204qOYVGw7WpUVkStT
qpO3w7pRxw9WbgwHvroBOXC8+E2H/6JFKIMNeop3Amatb5LwsqYEqbiFHeinlh4SvaG6XQtt2Ix6
AYpmUtsrGhYK4rD8GBfZcWhajoZNfKWXBlk9PedFkW2I0Ei9UJMvCXa8of053AEosX5ARSJXJvXE
OIkfZdx7Rt56aVArt7KEhlx09NTL1LelfJVa9KwmK3ToY3xv244s3+Zlxq2GW+PsEd3ZaEmYQKAf
LWt9IkLHGjzN7jaKoR4WoD9hM3yTjf5Y59IqGxWkYzTJ+vkZaBuSs+dA7hVvFBnxnyZMy9QYvhoi
/pYtQvdFm7a7DvcpeR3LQc0JGAjVoyCSduzTrxVfX9uR7E2LwQ8Ggfbd2vTy8nUKWj/MgQnXcu1o
AUoGpS3kbWKAmlPmyDNM85LPeE2Pl/ZLvIQetazW1Qc5PkY6zi3UIlddRrIQdex9qE4M5k5ZZ/XE
iTdA1mbl897mJZIptKs0sibLOliVdtCn8kFaOjc1zJteDa+KujqY/PeAxCfvh6vIjneZWvlqkMQI
HSdHnVNKd6QBuX1Tlm7YyKdUSh/LVHnE9rgjfHRfZghfeuVqGRUvU0Ey0Xk09MSts3reL6aJjBJ9
HzKC55qGCRpujyjNmIoFVNBl3FnlMtPRKopdZ5Xf8xnhtxQVmTeHwF2NSUvXtV2t6ZJJ18ss1Z9s
oKhQ/rKJe515EWa9AtfI6uPfv8680azk7Syy+FTWqeoPmT375jCnHuEg2aHL0YmbQwBGOsoRPC4v
SlW3V3WdyrfWQoJJOU3XfZMc5CnwUtt8kKduXUfiB0mpIU5J6uhwlMFen5OKFsZ0FsRuGRiti4Zl
QS4wqJ5pdZuhLL815tK7cdLeqyQi+mBnwN7KMKCywh1rAGhbpUqpFFF9V5JmrQLgzdRy3ebm9znL
b6CP7fog3S9ttqt7qH9VeUAYY6+7cS69do436hQZbgs2WOAwWUV6sg55Ol4rt9f63CtuFYmdHNm8
1yAMIJEp+DKb6Q4RiU50b18zFtQLnYRPtxbncPY4PQ7VcoraZJuOxtoAk+TFWb0NCrypvQWHNbeQ
viC5McLqkIUEnpmFehETYpr1+YZ1DSBZVcINn1uCtJqLNMmuYcxQ5SqGzBOFhHiCfNWgaS7pCA5s
bm1i2zE06rNOBOEUP+GY38cDg2ligFrNssIW+T2tZXAIdBp15WuSz16uQQ229c3IPKS15ffSNg9y
LaNXs6XvAZ1Fp1JrR/SQJdMsJ+qjOs9l3SE2xRdVzojHmIlul9KvhF0pbtLOqa9H4QWhvooHNxTR
R5VYGzVP+nvyeMc9BrHmmCFC3X68Sfj1lPk6UAWGIMvEswR66n2CdwLFc2qQFJ8CZD5asmtoLX58
hfN55Zeds0aFVjtXaM8HK+uMGHm7CdEEYZuWHYanTGBcFRdxH2/i6roZsbw2GWWHemUn/sfXREjy
yVXfnR/6Ku0qXZOkozxT61RV2s/8gVXxC8Ls+RwvTPvCMhCMaduhL1J3mAB0ZgXddlmNS7doli+l
ZB7iTpddvCjEWI/KNyvSTS+Xkzsib0ePQv3ezPSvIkinnZJpomc0FaXfL2bhW5WEJLICR2UW87zt
J1P7VhaknujItP04jp8zxiolNhF5zMCz11lCdlHD36BsIn9aSu8IG1O3eQjTcO6+JygrWZRusRut
REsHDb/5RpMjyU9kdijYaIr1vPSyW+cCmc5ooH6Op2s1KkjvjCH4a6FwDBsAWTsg6hlVp61iom7I
dRn122mBjSanO6Mr8UKdkaJxoGVu0hHrJHpjmy7JXkVXVsyB6mmZTD8nSJll5YdBRpMXJzl6x2ld
NPT7g4URLCM8CNFaIIsvk9xyqiWxvCYLjhXCpRCTv1ISI22F0w0wFDZwlXTbdyn6KY3m7WJ2a6mC
Va/05ZMI62Mj51c1jJammzpigXHeDJKD/WZjFmjWKkW5K+ZoMwXT5A1Nf0KXpntJBauWEGKrlnuX
pHSnNvR1WOkHk6zmT4bbZ2P8fKZ/U9UYdbYY+L6lY3IoLsOTtCKB+Z5opS2BUgeMb5H7rI6OsVOO
xeP4SUnlVU3wzxfsrMwRZFKCxPn14kBarCKF9nqsPMMpDqpbrXoMeHvpwVzJvnx3IbmHh8EnSGd4
4h/ZaT7Izi5eBSegFZ9VUH5d+JhAeNs1JMkG0b8co96fk2d5zDEsJ9Epki8hGDux/NAMm48f969z
1j+v8a6JtZClLkVRFrG4voQN4VSflGB++xlM0lrMswUGd8qvDzSfyAwHmM/iLV3WMPkbgz3nnzPU
f47vKkXkf318Pz1VT/88t59/5ue5nejV87mFw7l5xnSfa1M/z+38lUA8zzwIUA0rEwP957nd+sMS
Ohp4U7PZb706mX4K7glsNXAV8X6glWfB+7fsSprMrb1Zzug5msS1qzpiOwC3YHjPg+fNq97Uba4b
vOwX1TlPQFGBqjQ2ZpzKmO+UpF4HZ37NqNReUPXf5D54jAVCJ3nS960RZF6dSqATag8Q7dFYIMoa
HbFEoBUcOYwvRJyt5sC6lLMQCoXSq4Rdyut0so+jZhzKvFxbob3pE/UCirbuWDif3CZEM0usNMqb
sl91mvIiiQIzj11hx9TDoymYViVsMkTz4XRUO8OpJXmNzmIrGyMKG9W6NyvtslWzC8Mm8K9vCkQJ
2pDdp2JGcZuydhr2FRLOm3AEtANk2JuNBO18ViIN7fSXsQyT47L0FWZqrjMbw3qRGhIA+9CVhLLJ
pZTMlElpCCkloq2zY7lz1bBCsoWbV60I3u5R1Xmo8t04AztRZ99C9iNnhIBTDSSf1DC03ZLdJaH2
55hPDpgjjsqiIB2tQ1+GxKbRM2XLsXmvyVm8o1axC3ChsoEjKTtIzcOYctSwR3FTK7FYzVYDgKPA
9hjajX5BywhNaI8YYrFZJlsj22KaQxWiuRrKfkwKwWMbWreJZBnbWNI2+hy84GcDQKtPLtaM3GsN
lKFkyyBM0vVNGSF6JKlbvp0tuyWi19jmRTF5elhdK0q2mXTLdCODOIlwQWNVxm2wFeOAJFmm6kDv
fxUX4EiWKJ5J4MG7ZYTpc6MUpMPVyuCiDlOv7Rodz2KkfmRY8Rq5YORJnYI6ivC61MlAh5AEFxRb
gap5E1poL0boxNsKmOhkkhIyUDxzhGom664kKWhDOGEZ3FijBbtcRN9Dqax8LLv2bgEbhLaw2TZ1
eNvKaPHkTt3oEhFDpGf4bdQb/gA31xqKcl9YzbFt8x/lhNlaX8a9PA1fqnY2sYfF970KviQmwNId
gurL0FoyuejLoS/wYuey7jZWcrV01kCHNeSUYRyLc3RLIN13o4KmiqIG/CjuOtQvTGJkektZGXFS
4JriUGOn7Tox1UMmCKJA7PS4VMHFIKd3sGRq7NXBNlRrYz3MHbg3pY79JkFYHEcFe/70GIWAILIw
8mXbPhaZvemMoXRJzPweB/FdKc10SCT0A4kqf9fi6n4grlAKcXo1gOqehsbwJUX6OkATJcrWOmrg
bFyM9ukV4NpH3GD7FsWPubT72ahQ5ej7MF50py0N/OmlekS9tc7kOvMrU+y1CcNEg2xGUqNrlPtQ
YeL5UTVvU8nXZ2tfxfHKHljNgwjcTcHuKR5M6i9pdmWhQHPVsvlaSd11QrXJLaTlMjICXLxa52kj
yrU48SVJbJYWB0wXJLUrN2TpIh1wssg+mjbBjEjh4hwhqs63Ds5mP5gA4NN8ebQFvOIub1zY77UB
Ly6TktBFbXTox2WLf/2bapwPWIrisUm2nSpObrrM+GY3Ue31Eyq/ojbvQ6krXCUPeIlR3MHN7XwM
KhT07XNQUVvg0/iTX/qfFfecAvavV9zj0/eX35nczj/1c819NbmpkCEUFdMayJg3a678h8FirNNH
1QhGhAX315pr/sFSSOqxzuEOIfpbi7D4gwBDCJD8AMYxnHD/DkFOf1Ul/b3DZc21mA0RVuNDw4Jn
nW/i7ZrLzDa3agcVLLBzCsg5QsXWKJjhmhMRpA9VKjnV1NneEs87M5jzdZGHHJZ7RMvKiy4NtTva
BmeRsXWxZu6n0g6cxU4gmg9YiSXp6nxCcroSirCVZ/fEdkFoim3b1+PqWemJdO4s+nGsZoMyfBVZ
/kNJUpjmnBjjMHoUduZJlOvuOTzLm4J6SZiPgWsGJKhy2yWqXfaSMaFLoaJ+7TPUz3WMjZigScyp
yMVXUxf8IEbzBaakQKEpC98qE8J2m/imTKOrKSwQuI33TEEAvkXI7GhQQ01Z4wwhEUQqIp6ATcZa
a5bfLCN5xoBzyg1ZoNvlI/Yw8fy2Ui6ljJD4jAjaatknZQw4piFEto3VSyNJLuVCgw8RZ2cvConA
Gef5tdCrAWHk+By0CbYSpY9xOVj4VSMDKI6c3A7DfAkQB32o3BFMq2WstLl90+ZMM7ly1RZjs0oy
6FuSveyjzN5F3bSvykh2TVRijt4N21BBgh6WJo5BKyydsjckIGWt5dlkT921aUloBtYcv8fz5mKZ
03ZAQZMVAUPf8VLjtxkiglsLOfTaPLHWGguYX4XaQdTKttatajX3QXA1SwXo87qzV3PI+dXOcvus
sxVuQbrVVSmkddnQ1IxNykb14wwbc92G2tk6HlEODs2Yypu+IvwCYGiAhVsUwaoL68U3zcIkwSt/
7uyIpvWZxZABIPOzguPolAePmTluRdhUxxifgMcvncGDxDjK2A/I0B3iQOn8oSD3SFXra0qtkWeq
w+Qlk8GA7IEoya2ubRrmRBfqwjNGM82pWjKS6dNmTpIWttsHpbmJE5WW8WwdzVwHxDGJF8jfYL9t
5VSMzLdax1Cmijp54cBOswrpBCmSuCki7XEwU7TOVC2d1jKzTddOQNLDkRDioN2CQXuGRlY4Yw6P
KQ0Ly5P7gWFsm5eBzJan1jN9Q4LKVztRv1FfXJvShAJzao9SjtY0lCwo6CM561H9jZw2klVH/FNe
0driSp6XTt8pC10sSmIGNeKpmXNHG1+yOXqYQt55NbUw+iB+d2a2f7PWaZfmmH8leB7RmhWjY2y7
ngP+fD9R4aYWSXQt5iXHGu3UQ1A9u2laElfSj+sxgxwVlwUVwJiImCgUewIjaqe2IKnNRnG7lMFF
I6pDP4HS6MviR9zVN6oWkWNv7QcLt0aX7JclWquUqiMJW1cCja6ccYDrGQ2YvNGv5VIMnsLvPUPm
9pZGn4Xy6xZkv4pUjRu3w0076nvc9D9EZ67aFC1MaeogGfN5x1bjST2XVWrlvFmfuhF+/yB22DNX
1hROQU+Yfdc9FGE9lKspqvSFnIOmvNGQ999TPB7pBag4DIXcDs1Giy3jMUxLY9e1VRZeEjYXWtuu
lvTHIBRqcExIHV7nkO+83g4eFHoBvjGpDI0Aok/AeNnoJXLeMUGENDLufKOizH62O/Z6j2EUYgCN
uU0klrPynSjBEb6KY5fBlbUsF1PRd6iKlsWVyEDIkLfe9QozXA6sklJTpvp9mPwIG/OqEXK5kUbS
9gDybgjRyFwTgg1dFSr4w31tlMuKt3htBUBubUwotbxc2nq871PEv1UlPylnx3BZjBcJHDBlVDK3
64J2U2dSzFgLLuZUVt25IyxEAi+NAWlU0m1RUpptteLJLIfI19S+cRH9HeI0+aZaI7PB9G0y1VVR
E0W3WHgQdZ33MBuQ1kvprTwdOEV4ebqxDHoyy5r65loarIsQoM1qmJMfQovAY3eUsDWY/FnsgyDF
fGJhWciGWgNSMJJBSLR3FDD7NXkergoNI+fMNpXNZux3JZjgWc/X2iArbj7ijFZFfR0n5LRnjXkI
wKaWrQwYaBzp74KiryP1pGN39IxQWqG7J+DCLDjOYW/J65PEoQDwoHhIrOE5GUW0HqdsP4JRdaiC
7gOCNowaWXUVX8xGmaPhFbsqIGSuT6pVjHupaq1H+ufxWpPL0BUSEJs+Vw6FFmPVpq5dzKi6aQaZ
NmdHRdVfBHDS1bgw2WpWt09ySBq5mQr+x2nViGandxYu1ThKnbgxt+S+MD9rClRnPHVSfEPm1VPd
Y2IEoZCSqDSU0n2q8VXLREU1fdkx3QyrXAlfEtveGKR5lhJ/G1TWj25Ivletss/VaP26jfrPfvJc
S/9oP9nEVdn+rorDz73ZUWqyqWLmpLtwDtP+ZUcJzh0W2bmEgwvq7YYSWqCiYJrSYRqcFRZ/iS9A
ElsakENUDDqwA3aA/wY7/DUj6dciDkVESpXseDWUIOor9eBNESfBqqyaixpd5PKiB8eIosjjpMiR
tTWoKYSXJbPQbulr8SgifaTEKBV16oyTRCL5Yrb3dqSXN7YdGwsOmH4sV1phdg+t1uOyxWlk+iKi
PqLH0v2kQg6YQmhLmaqmrjqJS8si8ZAExn6AaJ/NT0jYn8jI1B3K9aK1cj8Q8lo9g0bVmT2Rkgp/
GggTkpodtfLGES0GZ9rLrRvK81Na4yiuxwZQGrYxiuPUhWaaiC789FVWDJQjChO7T49fKCRdfRhJ
VsnFtT7gyYoFiFiNXl+AT8RqsO8NylNd1DeVpj5GVgLZLWjGVVEkGM7UZVlbsZ27KBPo9+kGp0vz
MFjtFxUNbCqK7EBmyr6PUpbiQLU8veVIqjchBOCxsrBCp9dDXd3V+lIdtYbSy3IOfm8s9g8NiUPO
qMM1aLIW7qOGPGEqwuwAzgtyY/UFdPmAIUXG4CQ3L0vbzFDgpsy32n6DUHYt2/lGYQWrTMiuM3Zb
kl4mHKjqiukhdKOEZwArfXTBORubuOBP+jD12KjK+yJKvzNVXVk6uT5V9qyk0a0oOcZ3XaIfAsoG
cSVdQUsln8/AnBnkJVyAXhzCM5CxzCAWCHGrNzm7WMP8LspivyDcqGaLxrlssSoUJpG6Q5nAkpv2
BT6qTh4HvJ3FOotxskGhXtxOGeAPFPeJaOlTCgzKrGY+LsqbAluvK41B5USytdJrczj1540yAlqr
cxp926Uiv0dgMXlN2mOAHyhhadGpIB7mXOtjzz/3d82cfAuGkY5E1PSOocsrUgQfKLd+MQHgqo3y
lOUocafzbcjDtTRbqzpYLrI0Zr+kruzgksFanvShP2R2ernMgtIme7MC3MaqmWI2eGwhYMrP+04w
7BQjOZRqSRGg4cYl60EyOaUQbEUpKZkCV2rOuTwp0O/8QrObPXFfl9SDCKweGtqopg4KuH4kIg8m
tHqXd1noiBIm2yAu5niEoyv6vWTTRB9qlt+gvbUS85uQpmMj+hc1yG/bztzCZTwkQwrAOzJhb2Z2
6xol3wMone+ZMvKKLXCErCnrvaoQF3x4omjH6EvdQORV5PxCDZRLGker2k6/SVLgwsKTHTMiRyfX
8stz+gbLXrQ38654iATNgmzOVPTARbaXsr6CXDLjxiUb3DXz/AkwUep3c3altMGXTCpnFz4XoCka
yba1HLKiO/YKGINe/wos+4li7m4xuOioXiVgk7PA3kZVd9HCzdM1faNVWboivOzY03t1Ct0qVnNa
eLqanvvUCtvZCPRHp+1jpSmuWhKf2t00KGeJRDHguAcCYts1mpXEeuhz6IFhmQM/ISEai2EmY95q
ufuwKMFRT7p6Oc36js6Icop4sVy+c4OgEdShxkD4AvvY6WGpi/CaAMRsn+iJse54BP6YSdlGMaXZ
qZBKaU5IMIPsDKKLNp2kgbCiR4mPuZJBUyewkf+zTL8ijs6Ovn+9TH+FefvPRsv5Z34u0WdiqSzb
pKfaBK3gjn+zRKt/sALTLNFNwjX4499rNNJJIllYtl/XY7o0f6/RFphT+iUWrX7r/7N3ZsuNG+nW
fZXzAujAkEgAt5xJiSI1lqQbRGnCPCfGpz8L5d92lVx2/T7XfdMRHWUJIkgiM7+999r8R/9OaEHV
+YvQQq8qsyU4CpgTsEn+OPRRGARyjIjgQZTPdMNVkAbrO2UylIzNUa0mIy+YehrpyVRZdttgq9sx
KWp37eQbSwMJNOAIojiaWlczi2mt0mxYjk78bk2SCTpTlgvSxy9e25d3xUhRdVKlwxmnAoOXjNCv
x5n6TtA/WuvwilXurbooLE40aWJX7/mcUzrOSs7Yah10vrFqkKEz0EO7NLXabexZW9j8e2t0qYZr
sTGL2FzBnohOaUSxq5AeZCDZ0wfqPuSTGbEu9gVbkTHfKE43Sy0hi0rFNOYWw/U3g668XUXn+ino
MYQD68h2fYlokgYW5st8IjUcOI9FQx043pF0kbfZZVuN28TTnnoytsy32iVzlJhnUnnQW7FOnEBf
m0F3SGrtoivcB+7msShYZ3RFCLmQ4EHyJHy2O/F1kBRJwyL4EmCdrO2cMXUY9NDio1slGhL2qSaJ
dRvOUgbBLpmgImkye7cCKukGam9ljadFTTlN44yaNgpO+Sb0e30B5OOJN5pKLVne0mx1JdLxxZ0w
RvopLJ7SevPH5qw1eXeZ0GQKzId4akXI2Jo8MLX+dGUXvKWKlnk4+ucks15Mq/4y9cmr5kOnKMLw
kKTDSfYcYJwS/5ER6HhCe3MPyYHMKCPpVR94J4gziFKZ2MlGXhZD5q4LYiQL2wifymC6FkJcxJUT
Ejuf8B58syP5xcAUvErckzXqsfWiU7Qx7h3FtA1X5oXm4/VY1gb7qtSuGwra7Het4YndulBjtHHD
gZnFwYvto96lhy5mIOHYqHn4LC/R2Rmtdx1r1SzsBLPEM6L1uLPoA/rUvKltuwPMXpOORRuqzJKN
3ywXRdlIbzUKkj5LSVRucJNneYkwGQrGLDn1s/gEXWJnoUalsyzVRWI/zEIV/jv9Lp/FK465mDTm
vdksbEGQzFam3y+nWfSyUL/G0dxFsxyW2PZdjT5mzkKZg2LG1PhKzBJaLxhnZrOsRl33XoMWeMLj
SaRgFt/KWYYbanHbzcKcr+xLaPXw6WfRTmeyWactMh56HrMl5nhFxLuE1Jdaj43hn7Q+4EDJMEj0
0RaQEPKgl9VbfFRMmzA7ukiIIVKiW5R81fmalKXDRgtmSRmyCDqURCaa467SyDBOOBGtlY+p4CaO
quDAQposWte/6iqtwGAs1+boTZiDaFiwwN5zsByuR6PpMaeWILnYbrP5Nv2dXinBjrQQ2zHwvZUO
72FfVvlFEOrApoLWOjQymA5VbGhbUUBCKaryWmqcjadkZGUNHksts85mDK+Bp1+y1yLhLcOkPGgW
O9chIOgYl0+VEwcfTQ7ULORrfO3E8TuhbQVf0rNU/d/187d+rDma9PfrJ4jA/7lso+Z/Ti8Mm36y
lM4//vtS+g3Fb7IkeiYdefSAf7eUglil9YbWXRIFlqmzyv7uWQC47/Ezf0QN+KnfPQvEEDyHH8Po
4BH//HeI1R/tMrN6wgLP/wiT34f9+JNdpkb4abBMBLR5Ymc2LyKYnd/dmp8kDT4rNJymPZZ9fpGE
d0K98OeytswodK9MiaoGibPPw9bbDKYZ1xsnG46DBYN1hQuu2U5gpNfAp1ANDdx3tyYzJk4IFFcc
ndrxoIDRD3Nsa8bFy+xbXZWUmj4AJGkhkuhsH6d1Q0tXUfY6tKswy9a1JvTtMJdfgQQ11z2R9G0d
QggFIBhvLYkUmXfyHM/lWfPDjZFuQLkJwq25Dijk0BCL5s4tDH/hRxaDp7OMyJ/ipdvoGqi0UZis
TSn/b22UAgN8KDLdulV5yby8rIbqWg38FVFFGgjgGstD+GiVxkU4hMjkQMcXiZfsra7adpxF+lYa
C0dpV23YPdiJdVd5zW0NBD3Iuwdp82xxZUViIBKXFbW4kE4vw5BoQhAke6PGEhEM8oK55sLVMdV1
QbHVI+zZuj+jaccDas5TGcfjkn4VqnGoXIfTFu+8PGScTWhN4lgMS8sBwgByy02N9zAtcEUjdY0F
9kycGcBMBYWXahjsbW750wVjz4vO17YDI06lRcGWpqZ6FVkTzoWSlTg6Qiex1r4122fDcjtN9Z7Z
+k1oV+k2zu18FQBOqRmrs/M39nkz1Os6BLZWq4uQJp+FNurydeySZjnWUEpYRDcDc2pOotGaUzwu
eKwFWefvh7I6EgOg/yVGzk+US9GoywIZxPatLVhXwHG1uyYH+JX7nsmhUKilPqpjJTttic9j3yXD
uC1S/V3I9s2ASb+tU5ldWB7VKIswsaPrMncpRR5ERNQFwA4RU+3gJbGxxanwmmjhfpLalTKce/p3
tmmIGkKDDh2VcN4tEoyZe93lOYZWcxXX/hp/+TKTOFX61Ny6vTJXlcWNt3Nn1+jdF2PCp1BCTUJx
f2ZTeix0GPtRPRzsVD9P/NLOyI+ZC9tXQBYuta9mg71HG/aFmC4tX9t5zgMF94U7HTiHuRs7Dta1
Y99XEznJjh4gBgCtYuQqsgRm5XgOfJqoyf4QXk+8pzQwnyxPethFjUtP5AE7g1MV7iCKhstwaq2F
PVUbju13AL/uBRrAECTDyg6Ds+jgGWNbnaM90YUqkj1pJ/ZjnfFQauGd62b3UJ2Z8PQbZ66BcoZD
5WmHYdAnIhiSNdDbpnSKLkhCraBlUZHXCnUj+vjA65uJIc9Wy9lwtNIIKaEONyZ0+ivcNslu0DLz
qehd57FxC+wPwzj6DAhAHg2+A/duSI21qEnZaJEKV9VvWMJ5CKRGJlMmGKl+xhd2pR1dtWLiYJp+
4xu25cw6ZG7vFItqRiC6MwxxmrGINNs8aMRV1h3ERD8sqSWdIYpKeA0fZphU3YxYBEzHZM60b5Su
w6uaQYxBxyQfQyT76/E2m2GNcU/bMBCfYJNAcpQAHXnnV1WrUUk1wx5dK5VHfwZADhMmdIb2LyIA
iS2rEUwkvEh2VXf6DJBs4jHZBjAl4xkuOc6USVW8oFstY+iTbowB3YdH6UveZfiUYMqoiI5B9qkP
p+5PRMPiTQBwCqktfTLjdhPCuiwgtLff4JcG9eZ+T+xINbm7iJ3xsoGVOY7RMmbCGVfmG3Wgw7aE
qhnn3VNn+Vt7hhlNUfvcKLEp4XBWSY+7zfliwOe02/yLPQM7CbLfDul4mUPyVBUsaa2PvwThuI9g
fXbDcOxgf5JkyXl+yhsFFdRu5BNBg6siFksXamgPPdToi0PkTN2mE7j7BwijvBvrHOLoNKNHPRik
jCCoSJqxpJRA7wHVhOtwRpbGYDTRG7mDM840yJ27qosOykI6bCKdEW94Uc0IVC3Kz9EMRS3i4Is9
Y1Itvd7Z+Ld53Ky0djhaM1A1C51LZNodvukDit2TV3aw8otlSWkS2ZBdkmHzmRGttMt8pQ5vxQxs
16ZTv6ha/6sO1VXgF4xmzCtMnIOA+9rMANhYNASstF1ty2cfQmw3woNT3a2PCd117YkKGWCyWRSe
deiyvg5mlsHOsy6Y25oQaD1ItBVEWogLE01gxa5jVrZzZ2wtTMFVDMeWUuxn6RcX+gy4NWfUbZ7p
BjRY8Lf6DMJlKGytE7d+pKGY3IXunvQZm9vnVTX7mTD+zFBdekdeoxmzW83A3b6UfF44Ca9R0f2F
NYN5afNxVuY3Wm9PQBDp3//4503IbLz80yQyb0F+Y/CxC7GoIJWfcgb0JRgc233tKsaenzwk3ouw
f5N8/jYF/KtLzDut72SDkU+xTFouoVfjQjqntjxRQv7PL+PHscfvL4OYKXtDS9qfkc6m2Y64pqLg
RB8SD8cT/NBhuGMK+s+X+YtjnbvF9IZGAPo8BAHFH19KUMSj5SQdGf8MxD0O/Mbke1jdt+LcdwYa
Q8308De60X8VsxlM9PdHiXP69fW9/uswbv6p308QdHjquslxWEqbtoXZdfyH63nu8GS6gJ8eitfs
X/7jBOExcaPki5ZkD+/W3BH0xwnC/Y/DXh/COAhayeH8Xzmw+P788OX65npmRORyUGayi2r26QzR
jT2+RuH08Ku7hMJ04rPdeINgjobtBafMqOJX/EQ5RgXrDnsG7TqWhpfU6T+0UN8wFxGLyQJpGKDY
Mhx30X8xFxBAfKkDJhJDCjGYHM6N8NIAMafwt31Hu2dGXC8snZfWim5lN30J8ZsuzRSzB+OO5UB+
joqZ8mDNXuzMwcFheflmSs1brrXqlQEToKd1hy8VgUO3jZc+jbcq8e454mBETIK3uHGPbBaueYSe
wqDZFc7cbdiN12ao6xt8cR315t15MJ1i7VpM3hyTPWsGbNgPTPje1dKq2nivi7kDsDR2RuhnG0/N
48RIuet2LK21lfhbmXzDPGYexX3iDsIyWwZv1VrWGkSqvkBwiLDfjPvJYI1TeehCPp8ebO8NsQlk
9zB7ag9Opx6JekaUUTbDQswSeDv69D52uCHsYXzv9GLfGQ6dEzSae3r4EBhkq7EELFM3RaGp8aBF
s4fWOfWRczW7gIOifig0+6VtSTMVyVZLQINzRKjYrJP9uzZHfD+BLW9c7pBPGdNCKxDz0/SqFt6N
jPSXZGDENOiesbB1NiKe099npniKXe/KLB26Lbuc3UBrsCgPzgViwx0+tHwpJ52JI5PKPsdQY/n3
5VBfla12EdRk/Zo0xboXPg+ddlda7eUQDjecEze61B7ZGL6mjM0WNm6DZV0i4UxpQYdVU30443ir
txgMqIE+8jZd9jBKK0iQvvgwSlCs5mxjaqdN6cz1RQKHHZVtMnZxDAfOdorBn9Z58Wzl8slC/6Cz
bvgq2p7Pl8HgNwtyNnuqoMkzfaNZ84tXWxRckpmk5eHQynFXSPXWaZTMmqE14/ZojMKJxKTvDP2O
6WOCs4v9friA7hSvtBBw0Gi5zFy95CFW3KQpZ99r00q1EJl5o2S59spsN+oZrcsN586DH/TBldkW
D0PzRDTS4jv3BH0PDxLemzBIOAsqcV+wX7we+9rb+yQQF4XTDFvRcVDU214s28oAozIXW0Ra+cGE
T3mXpBZUfu2HfjyuVZZU031nF1ghbbLTsFMDPxG3uW/RH6UF1kMkYkpWjfZWh0C78EfBnFcQw+27
VerGMQd+bzuWfUNJkOuuVF+nh6gUzpqTnLEue+up6Ox4PU183dKQjzQONUl+twZZaltLLcpWgesN
t245yHmIexrC6c1E02VC566IQ270voV+z4l8ggvAxs8NVwnZ0NRxrgZB2UkZLSfd/RLZ+SZ06XVS
briRCs4gSfhax704FOc0ajclXbfLSWsuirIhKdGpgwhz4orJcJ8IecvdNUgLk0eP6/NQtfde4u1q
kKzLwO9fGikeisJ6zHRK00wfYFmKZ7CqAPwj4T7Y1ISRKUCzwN5w1fudR80Ss7wkTC/1Hj0d7wKh
VzbZFRvHUpPlwqy0dW0lH+NU3Zex81BW0TGtxQudtWQTM+ckFfXCbaET9A2t+ZSB0Kfwruu+8aIP
8Q3Y5UvevIotMFtMlTj3WYewPqV0wkL9DNcVBxo5aYIiMsaaMWVjheLLNPLVc6Y5d2/um6ADtxJi
IG95CpjGgbHPhd+qy8ROsUd5jiJxKAE5dLgorSijTtlx4xXzkYnDsHrXaGbfFF7FpL/1IoQ//Yoj
OWS+tB13Zo6sGfhftTG7DJPpXhsxRtFD9YpTN74dMZct677flY0gXjHi4HOC6rUv4A5oc5ijyPL7
yEW8KcvXiKggJy49uyNtsNNy896hDHfpl7wbqUMlV5voK9d3eWz0eycrafiR7a6MWR1K9eqZUJib
LOWz1mQt2+eU7Wt9qPEb4y1Kg3yNStNsGl813rOZISj/t1Txt+HqPGT8+x3R8T1/K16j/Cdj1fkH
/9gUmdBYDDDK1KvgQ5gN5n9sigS1LKBb2CTjGQLI8semSHzbSbF99tg9m5b4vlORTRG5RJ09FEb3
f+MgYq75w4aIXKNuW/TCuADYscx7n1PNTqoClwIo7WRo6bJVWDp0Mb37PTAOviJy0Vr6BvDCph6D
LGVIV9Y3Xp1p16bTaVYA0zZ3bgKsrZQ7G6O1ahuj/oKT1RlfbQ1Th2QXwXlsFNu4YkZEl8m0Dea0
RoOxaUvBY01baO9uOVYN667UvE1tmI/MJPXXoEqzZWXCYi9CJwUZodhqBLOvoeC/tZxKLODv18/l
XPZnBqmLKbezD33uHOK4thY9dVV2iKezabVta7Yv2UBTQlfVhIy9nHIok8GINh7HAGZk5thr3Avd
lZsz2Mlq5k8eTLZtPY7hggZinrQJkd0CkIbFN3nt4iLiMVmX6wkGAo/z5hw3OWaOUUE2du3x1jC+
RILSgwbWIY/6cEUQ7xp1A9HJNI7IbAWu3ojdS/naRP1GuvhkhSI/53Z2v3bcAdSA00eH3KHKwbai
YY+3Vl83dsV5n6FQj9tDL7hnQE14W7STqOgEswMPAg1dJCoShwrxCu9hMVxPeEq2FIIn10Onn+gF
CHdeMtdL4IIY6ZmZog0ns5xojZWnySJmtrOrfSTPyWT5Ww+kvFbYqbUa2gVVsQsKZf1b2Orltovj
EvEVW+Y+r7sOp0URHXypucdI9OztlOcT3uKH86PBlODaaMOnNGScEebya1ADIugbJtiG8J4SQwVr
X5UfeKAykmHBJb2B2cKNx1OKFZva6uwjnGxGj4E6MdoblxmFR0tRu2hmbIFZ8uS+7irnQHDHWHbx
eBvGM3Ysy7aCEfvWq/ECDzYbFTH2Jm2UbdnzByizZTdRd70pjp1dagdOlLSs0/N1tu0Gjy2L7Cy1
DiznJi00K1RpdUkzLTN4PminjpK1TV3Z1YUUOEy0grKgmlw6DIt2a4Xpc9rB+KH5k/aZoTn0A8WO
aRcQ+BK+e5WwzdYy783UmksZZ9dF2977mnVsSlaAhamVVyM80b0p0RpoO9xpNufpTNkpHQC+v3bd
d8WcMUphPQjncgwLb021+rYagHvjM+Y10wifX9oohjSKXNhGdJmFuFSj1vaPuYvxPJMlxZthcBuO
Q7CvwnRPc+QuqXiT3BCjUh/BO4ipkMG9/jVoe76BMjrRtNixU8IppKkuIzpYLQ2Z7j1lr926/prV
FIwBQlkW7od0Ih4t2QbL4aZMCGl1TQHtRb8pG6p9ypiQlrjwerRCQ4E0UET+MfLeu6l+wlF2Lzvd
5UPqFZLcDNXgvjt9lJVxY0/t3mndlYV6wgDPWuohA1ctWVJV8DWU1lbW3brBBrGIbffcUITiFuab
x96KY4/1rrzxRmgDLNmqpJlz2miJWJa8x7AqoqVAYAfKsewmnX2dn71ScXaH9M4oPYn3FI2cp2I4
ZQisiJgUpBY7JyvIgnL51Nav4W9f0fa5NMG35H67QjNehJO2xcm2w6uyzEr26s2w0ewZe2JGr9Kl
1UArd1rrsalCZS2LU17q7jrX2ZIrE8hEG5xNla6iLtgNRFezQrvkfLcZ0+hr1ZrMTYdlxVeEUckS
wPiK4zZqdPpep+8FhRUDTKjY1dl/y0XU5482sYVmslaG4BqqRkkxTwRlbhslN3gqcVwPN2Lw7tJ4
oiIqTSlBIsKbCeqOfAwLGV4WJuUbpnAfIxFznnAbUj3LJnRX0h3YZTfh3qIbloKkR91Q+L/cWynL
RzdsbgKOpW32lo/le6XrAJwGxCQr2kQSZK4/rpJArEN9XAZWeE11wrHorBuccB+GphZmjUzUY0PU
9Z3mdTu30TZ6mN7GdnGpbOMe3yWQdRwA0i7nvoqLRm83fBWvGs/dGFZzsHxkpaFaM3mGkZ5TGlox
ocVd+9q3xSO/ihgTtdVjI0pw7mT9nLBfjnn/tcmbZe5qF6kq9pPmQN/CRdHVCZUXLBLM0qsl0SWE
CulsTdV9obbmWVXEiEtnTwINo4nwl4WqdyDq9/qQoSrYHria7rGv9S9FHd8UmoErf8AKh9/G8NaA
+naOsvl0OhR1d9d5kV6UIGY6rb1NI2fnDv7Jt6Y9vTUHTiNH6nld/DLRJkvHc+nPBndKXnr3Oq4J
QhvDUwnvb8QGRBGAe+/X8rqpm1Pe2DftgJXNNZrb1rZXXUmspJ4wldrpZWoHhxT2xKInb1XPD6qp
eBwTdWHW9rYsSVaqHvMw5M1+3vTk2O7z+7ocD4ZZXGimCE+ar/svdGCmt01DyHgyFTtTnQ6Hftmp
hIUnfiO9ch+rDGc8nBwO3upJQOEy6QqP6WdOIuNNZhr9S9VjUod7Bronnrd0L84VVGQ67WlmbKRO
wkHJeArtptx4VnKX1SoldpJsE8s4xwlFTIlXLnKa3DYYtXZ+Ipe9qWXriANJB0LO4TxK0tVcJSlY
njA/E8LZxv5wGPLxrdTKtdbEX1VtE1EjKYNVk8xS56zbFrEq1PIlUSHUvHbJaT1YDV6+6zT3jdqU
DcP4bdA5mwgJOC8Iy2cNqY1gmDZDll9w6LmolX1HFo61RpXLvME8ihFEC3vtkJuCzzo5BPS22ij2
qaaOE/7tpi5f4QhBUCLx6qeIDYLAR6az/H23pf2JKP5pWPxth8jpTTrCmqEcn0kYHHhrBNtcO+kZ
waxkUSQ3GlrLP19kHtN+N/T+fxehA0i36HZj/PTjGJdMoc5ozdBOA61dhJvap6H4CCzk0l9p/D/b
8DJt/ONKnwbGhV+MBsY67WS6V6HAy+lw8J72hXyI2+eokL9Aqvz07vFtAlyIU5U8348vjMpqDDhp
EZw77Vm1F1Xwmqev/3zvfvaK2C2zWeYylvicKvWpMdG9sQzPnYBDvG3HcZ2GBFOCbTQxvVG/5Y//
f8WD+a3CasmhBa+FYCj7SZ+Y833mqKvoHOUAcyy6QWdDwi9e049ej2/Hkh8u8kmhaHxN2dLnIjFW
f1Vfxl74C+HgJ2/MD1eY//07DaRTE/5sgJ1n8owSv1ZS3NEh/ouLfFIn/nKvPr37ZYKNq8ua6Dxo
1gLAmBedxazpOU9MSWVzMtvmF1f82cvC8ambji09G8vNjy8riVxa52MjOjvVNSLWksJ4518qVN9e
FR1UMEzoiiL78unW+balSber4zPVP+tMMiEDL5De//On+me3znKYuTGkxzjrfbpI0YeOE0XIUnX5
lMvLkJNizMPA82/j9kIQdOz963++4vyZ+vQM4hH35xU/vVmgtLy6NEbywwPGyOYL8sYvHgafQNX4
kEkDORRRQ4QRWIw+U8pw1NF3PBjZOb6s92rP4nmkFWttX4c39jJfR5tfQ5B/9oH4/lV9et6RDM8G
oA3xuZOwtghGmB4PhWL3f7l3pJB0Vk5bzv7s779NckK8UQDFzn7lLU2ionhQ//kK893//O6Q6+fT
hkA6o2t+vELZmBHpeS0+I/kvRtdkt/kcCcrQ4vgXr+Vnd+z7K316wHEiLmryFvHZsN9D99r2b6vp
F4+3n1/ClrB/YPfSQv7ji4kYnrtiCpJznp9sHN4DdiWzlb9YVH/2FeLD9sdVPr31Sd3hFMFxdY6S
11SDKchAVmzspF0m6qwl29T+xXv0l5dF9bnjgIuZ7X6GEDPM7rtnqun5Tpk5RXpW3baqn3u5rqab
f/4Y/OVL+ukSzNK+v0TeBdzQsErP/ZTjPQ5WIxPf/8slZhYEeGP8gJ9eRTwMuKg4aZ2b9FWboNn8
Cuv/l48yr4FooM33hMEbiLEfXwOPTqc3cgoK2OdlLUCHeD9PznPv/dsL+a9OPYM9/n4q+9S+fP2r
Sj3/zB8DWQOV2pufwHPv5GxL/XMga/xH8o0ErAwNxJUOj5nffa4e/4LZgA84NBDJR+N7lRprKicy
/onz8jyr/TexTn3+hP35rPumUrPXliREcdayVf30eEhVzbioGPSTiotH38ttVFdLuzDpxUUDNcpr
mwTDrs2FdzVnoTZFMUfxGnGoC3AifT5UCwzX9mU9H+IwgRML7+W26zk1ukN5rCdtWXY60pL7anQI
C2bW7ywIO6sJdcFDZYicUl+VeCTbBlU29wA2OL2479EmBJihO2DLLQSL8lVSzla05X1tcFoWsLgg
GlWv6Sx2FLPsQZJ7N8xCSDAVYX5N2JoDrxBnzZIXvuy9tep1nyi4Rt0RvlD8ntV59NVXpw1e/YzU
OjESfR2MZbV3cw9BqtBuFBLw2aOze5HJ0FtQrkhT8+g4Kz+SArTRRCehP55RrDBoetZbE8lrTJxX
roK0W4bJY2Rad6rwypUWm+9lYg9rfwru644FGKN7K7VwQf5lx1L2RvQgn2eeO0Ka17kez62hT1ke
XMSTdwfK2sFZyFy7NvW70onR0XkTFNG2ZeqTTTeV/XUEnbpsnObRBXq8gFVpLCpbrnqhn91UGITl
o+uIuOpCyyjTPIwjBjAGzh96TbhF5ldESC66sQj2VtzctHMyb7B1SgPqrCHezwlUplTLlenKmQCP
V5rWUiDlmdgQPJU2pPmLmhNu3rgnzyzHbZozL+4kVty88qisqN/NClqXNznBtYbIhOvNRk/qkqtq
ND/Swh6BG0j4aGFseldpCA0tz6nb9BPsnsomMJunSLlgGU4hAcmlnrqnXitgV0gChsFY0BYOnasx
ikNbm1cljcM4TCc29ZEAWwGXgoAlJX8Dh5fOaJ9lGT4kCUtUzSCsmqmfxJu5bwE3N83noXkzPTgM
rQ2/eMkCf9saljiIXLs23PJDhFThwu9sq8Fd5omsl7qqrb1EXS5ldhgYTorAOo1GchJWO+CH9mZ7
cfxF7/17G8b6Dk8Fk2bNua9VQJ+xYUIlMInZuC2Wy4pkbKvrN9moDjp5jSqJb6IoWMs2faIa/MX2
6gK7rUHpX4OUQIh1Vcue7I6eH20I7QtbaIcutWhe0Bn7th4k5TyYgbvGq2syjGvU+KWE3LDoDIqj
GM8tCjVRJ0x1b+JPYFVz/apP+5eQe72WVgkTSxJYLUyCxXl59HBrSLfYxKHVkBn2X4nnbpwa/6OW
QkkeHAIqCdvnYWQKO3p4P/LRfpvpZD1CC0Ti+LLya3MZlVmyTExzG4fNsxtXFxjS7o1kejDopebv
QxcQ9sLrvWM9AKPmD14FU9dTmppQwDczNSb9pvGs51F55SkQIXjcQRsOWjJq+yLr61XeRZddUt3S
h/celsmNK3PIF5lARxLWDGpx+C3gx+0dM/41dfTtKra0dJ9lJEh1E3s5B2HqWJsJFwdzH2qSYKq4
accI1jlBQ4Mv1OMIR8OgZzUYrmOTkZNv668uxpTftj3/XWcFu6u/X2eJllBqsUy//gzLNf/od8st
eRJ4CEiMxjcP15/LrfkfE78Ymy1bAMn8HoXpzHYx6FtQFFgLkeL/XG4lsRJCKJ4kh/Lb+v0vllsM
Zp+XW1cnl6mzbts2V5v/iO/3lI4RGGla2wUjIerBEfNMTLlMUYYhR7wcAoO22GSTWozys9xkCc7D
p8xzDjjGmX8rjPjFldNW+5jGhEnz17rIGDHHTnHJkLY4EYd7GHXx6Hosqm4zjvCy4SSNyZ2sfQCY
CsZ2ErBoFbEDIsuaAoavs6qWQhAlVWITFDEG/QqGYrfyJtFtQz7WUOrdfJHrKgSwSZd8XINYCMaV
4QbryS+Youo2ewTZQ6yihGDAvwWJhTwITgBKWAdFWK7T7yGprxx8Mr1JVanyBDWvOvE9u7ZfJa+T
7yS/t/Lmp1WXYi0a2A37efzqRZ67Hn0e323G8xnC0R4Kgr9Py5imhmxYFzlwTh0V7cK2tf7Sj1iq
cVkQ8oNRHlUZruRU0SQYxKcC34odj/jOJrFRsr0jhULDelLdz2kfpJ4enHIPnh+zjFX5Lbm1vF3l
Gm24LKNM3VFpF0nVHpGCGeSMBVivjmr12j7YufmQxd2NFyPxYQK3GTsbO8cC3jgm0VtnWMcgn64m
E6mnZQIKGqZ+TJW29NtiZhWCTwIfwQDW9Jb0Ii61aVDLIiHd3RS4k0sVW2D95T5W8jrxkQFgs6EH
T8G64lm2YSUk0IijztSbK9Pq16ICz6VnMCKjk5G2FxZL4ZKGoIuq4zPjt825iiQacMKt0fHirwXO
6IZAQxO326qyjo4dJhvlFdqy6uJilxi0/Zbato61czIUzXFKKsW7R5qgdeWNKc0jeSbQWSPNaCJD
LjUTZtdWMUWLVKhmHSc60K+eiEfQ3A3wJTddnB8D4T+PFeJSqrno9ZZc2Up/EFX1HFvoRkYar8ZK
STqfg+uAzIUxUA0dDFdV472x4pXMbRvuYSP3QcWGZ5L2pWqbU0QNs3ZdwK6b3schRQrLCP8l5UPi
BxVSG2INKMljTg/5IVbeU5HoN8qu39xyXNZVDnw72AS5XJVNf/CUtql1k4KF8CoqisMQN1foI2cS
rckKjmq7Tf0WXplvfxB1adHPetbdqKXKdyHybro15XQMqrrB8Ib+HlDXgmVAcl2xLdN620O4XKPw
7PrJOtf2U6Nh8M9a7z7HHwhD9qI2a4asyt73uJeCcjq3k7nzu4jphN1e87Bb1L1amWjR+O+Zu/iV
f7YadckMl2AUWZaijW4cgsb+GNxOeAYXsiapEuKiQuSCciYyYtleYFiYL9JoY1H9Ri16sIMCNXsq
QoK9NIQvtJZPTl4a8SIHUcTONTu7g/boiPyjqPW3zAXXIor0YcppNDcSazFUpVjB1cAaVNMn4cTl
i9tq/iX032M0YCobdf2cFajUrVMZp95KSZo7w1qf+ve2wfuayeHG6sdyb+XdM0GITSX0xzFyjlgz
N7SEhyusFhBrRSO2Qxt8yQevXSV9vindcdv5BQG4+uxF6f+ydx7dcRtdt/4rd31zeBVQiINv0t3o
wI7MYYJFSiRyzvj194Fs2ZJeWe/1HXvggU2T6ABU1Tln72fvBfS7qS66pVF6J1BgRCSY8TbHOXuF
6uHepiLhyt2SsuxOFYa2CQy0jhMp7G4xRINbKtpx4DG4WLlzY4z1dkh0BHgJwccW9AptVoaEOaIs
w2pWvFf8E3Gt04UtXwMcr8tmRIdnJomr2kwbnE9hYd3UjbyJ+UzYB1QOExAdqDcuaaMxZUSN6XUx
8xhvVvlOEED6LtoEJYaKMEoI9mlgrPLnbBstmjEPzgz/xMEZglkbdntdUTOXL3TcGsS3zycnNS2w
RFO9rVobOOAAU56Zjr+j+EObgQxQ7gOMlTOK50XUU7hjOWZuxOHLZ0yoBOWtFiLJncZq6QdmCytu
1q369adYg3Sr1AhYDGtC9FJy1Dcq7pqCCd9w0EUdLcGSbFrYtkZcnPDyJLtC7c9+M9yIMXcVT47Y
Iax9XjpbeLD9XTCN7bpvtffYoWNVW9Y1fhGEj8kk/z1P/aEmk786Tx1J1/j0n42LOdvv60kKgy4O
VcZJSOgFojF+9KeSDHm9YZERxmnqi2Dsz8aFrvJLFpEYHG4I951JVX/4c/kJbQvdcgiXFDaHKfWf
9C3mI973bQtdB4RlOqoKdIOuCr2Tb89RZV7CPwui4FK2KC62eKZ4YAzrrGphwCnCVzwF2GeBXKZa
tMUkHIidlu6B3h6aao0TVG1ue1P1nY/erreVgm3zFatrRIx3nyX0P+CMelcqoh7V9SdFwb0XZ8B9
kUgHLCJgxgfuzMmYknCZ1A5HDjJVLAntdDSxRLUNfgEox2PLIxFxxgi2FqDBktXcUPBckk+1Lf3K
iZZZWhMXUfZJRfGSUFC3cuwtF/R0DjXSNqFdNhQuRsjh78s3/m8podHI/ftS4pj/VEPJ7/x551u/
MRamWWpos09kDl7+eufzUJiGynAF0hpI/bnR97VlN7tHMKvzTNBolTSn/7z1JeWFSesV9r10VH7t
n5HYHJ687+99nOk0FNlhLah+mjX//JvWdz0xNmiN1jz5MpsOpWOKAsWMHZT6Shn8bppQzrfwGRXN
DBKc4p6VIwJMgVC2YfRF9CSSo92GIkXi4nMNjnxiVHQkLK0eIQUhZwzp4NQbCeeUBjHQY9+CJF1N
wtc5D8SW4hS7Wq+QoTudYQ7XLQRxCE9K7q8to1KW7ZA9agJpE1rTbTOz1Oq6AyvT0U3ivJgyx1Xq
tdeKuyjTjlVmki+XYjcYxU02UhKouInBqBVAb9N9VnoHtR8eRhpaC/oKHtLoFGfvDvYWihcfUy2G
7XAZW/ieEzAVi9BG3dDSaFt0w/SYWg42gq6FNys5wdQx4GPOpUzMilWf2lcVigttrlHCtntqUN5R
2yT7NBS4FPPxUnNGWPdmR3ZRC2LG68pmKa1pWMUNCheiciZ3pITBXa65hJeNK+TfwJPt7rOiD3so
mlAa0VAuU0/9PAxFvmyNek2s3zbE7L1M1eQQ2VqxDKvqoTVofkZlf8B22i67sNMwn8pb3Prr0mpJ
MI3pXyopFtPKK3bM9/Bw6vkp0vKbsuyXTET2IQkxwQDcvbNJALVK/ArJm46nYFEF3aqRqFKTeJUE
urLsCv9K91K3Kmyokh4NIMrRCJhcHq/t0YInLJtjqkAqw4ZDsBZBc3jqH1vIdkywHUiWowxXiulf
WM4IX3KaJWaIq67FXl6K6tHPEUROBEqPo3rb+INrDgnGoEHdxll0g3n/EBpyFVthuzDB3ENNxatZ
6IqHKdQLlmJwLpSVFo5i+Z4nar1VYSwujSw/GWrWbAIc95mM72kFUHaVi7wozwr6dpT2sQZWlrXV
TiI4yulDD7RkjlBshXwWRZtThUK075PbITbAJ8zGxFltF9iMzUcSpLnRtWBfFCjbpDPhD+n7x4z9
EPtn8zh4/YOq13d6jdfdr6ZNFjjnqDaWSkRDyWjeBsuDrZ8hOWqtuCC9QiVFEq6obNpbL6JjnEcq
sJnRx12rc8RuSnqt0zNawZfSAOQ3hCMx7VBV3KjT1aUu2vsuREmnxiQh5maA2Tu/EpbzCuYfXIJf
aqDr1Vu6++uw0u9wRm0UmV960DAM++QtTkZ7ZQcCPPCgnPxAP9JyV5YyDtdDmKAc5uifqeNr6k/D
Nh79bdtVxDMHtgMFHzSaTJN83TQZyCF4guOczpgMk713xAhuWkVuJKbqwGl6nfYwXz0tAeji8IJN
pV8n9XhWVR1lIDVAXpUnYIPYbLzgqkpl4prq8B6Hzk2kh2Qd0GREWjWAU57Gj76jA9p1mNkwjelL
ZsHgEOuGcD2LwCkvaW/JkOLWEdJaxCrQmbwIR1SJuUEJQhPdH17NoCFP1pwTL0wH4Ft5VBX9PUa/
uco5vqOzBiFswBKeYApXsIU5Hm/HKX/OvkCHoQ9bM4a4gEcsKsDE1DrQyVtAkIOm7/wGm9g0g4xV
LTpCPrgaIRyPkI4BcyGD8/ZpEu2Cprz1gvKjmdHIgL0PI6xkcB53xQxPliOwOFzCJhGVrHvVDFmm
aetaM3Y5gr+czSBmq2fGkdSAlWZIcz/jmsOuf3BmgHObKzzTM9Q5C+PnAR8hj+Owjmfwc2pL4jsG
DRY3VGitf+8rINFAkkI3G/V9YKbPw8gnqjpMayAtEI2YP1SkZi1lrTxgvXwPfGjKY2zRq5cICeuc
fr3+MlXio1O5GeD/3RUVXxhpTnJlJA0Vrp+V6zK1Lh24d196DBv8XiGltDuhl73hrSKvD85TqjMe
1udgq05hlgEC3QLhtgpssWvzGBGvZw87vYd3UnhPgUUaXpWE7yktDyhLPahEhrLbOu7uMadPS3RJ
E0LeqkOM+e8piQ/SELg5fn1Kat6r9/EnNQK/9/WkhAUXswnzS3QS80Hpm5MSqDwif5lr/2HP5QD/
9aRk/uao8IgRVqCB+atCkMZvhOox10RfhrmVE9M/qRCI0PrxmOSg5qFCsKVEJUDp8f0xKS0SHf2d
bZ5SCfGgEJ6+yoX1bNG0zK32UWvM+3i69sZuAyPZ1Ur7um38ey8hHwhVvlwWSELLbDxCw/SVT7KP
71Mq1ZUqq2gzVtkbvrhmMfY+hXK0FX7GQtHmGFgqbxl0dCY1ob6QllO8qQ38FdBsvcsy5xEDEEH7
rsyt51dXWY98LpLBY4qmmGbE84TuOCnsatnTORij+NoJ5Gtlqk9DN2pLsxmO4Jnz5RjEACbLaI8F
lUAkZhKPo7BfQhx8exo0nqv2TP5EEd3HbfIiRmva6Sni8ZrESdOetlOpvXR1enIyRoCmdetUG6Bn
bgk2ZIGz8b4Nwmc7VLa9yB/rSvGvLK1YOTQ00qw7qREhmslIozc8zRjWcpyndGHwOS8aqvoMMrzZ
n5yZOJqH2k5nSkSnMBgRrWu3czQd2vwmfmbkxuJXRJu6nhD6q5ggdRTVdOECRkcaqmHdW+RGXW87
+sNLr5coZJWDmeb9Nm/o1Xhh6/Z5hLbfPNC+ntY6oQ7LLkmA/iWfKzStq0bDnxhUYlOZU7A0uvZC
ttBWRGxPwuuyTZChzg8xsDCs5LtHVG74sx23ehPTGK4I7jkE9sSAOQLn5zlztMAB3fA5KZxTSm/L
jHBpA7I/9H5AjKi1soyJqA0drX8iDLDeM8uUgTTQu57BaxJD/Emsul6GIYE6bMTcbKGDMSQFy95Y
r3hCdj4MlnVbI60XcFZwNF33lskEVkXHV8pPoxaVS72MbjKVM3PAN6cU8p4x/aJMk8pFAWQfSkXd
JXZ+LKLhpUuHh6Cu34rS7lcMG+bRu8l2GWHtHisOJnHUwMlo8lUHp7ANKZ8nZhjLMEivvVqXRGIN
W+rlfA3XIlsAse0Xcb6TWhjB1MdykebYQIuzDnAmBsNsqAmmA85TBDliFUgktJbshfzrfaP2x3yi
MsGadEX8wEGk+U5LSfdNQHXYnf0W1f7OCXwiNBj8mXZ919fhLf7me9SyO5HNg139PTfNXSz8M8TY
l6xOIFdgMgYNctBltZdtfmy7uGHOMVwnabcZvPCgtyaYeeyRTr5TZ13SqFN+B1e+juOiGuW+SPp9
X4uLCPRk3U6EbvnNU29xZqn1iWNVcy5aDMHjZF1VjnZjhMU+DrutHkPHGZO03UWddtZFdfQLCy9F
h8+K8CacW7d1Xj+yJe69ITq2gb4K/PEmEwmUYx76OMFe24ePEMA2hp9vUzO0dwQqbMyuZ9ZiNcBS
nHBJvXmtY/2gyrxOlQ4oFJOIoAX84ognxiTJ0hZJsnK09qYPDAAlJFCT94tZf0qfaEVsrZa9Gv6n
BoeRrl92hJfzMtnOpld6osU4poXdc1a129oQH1Ptt0SaUHsA3A0pgintJiVLbzQS5/HEw2UCEWiw
9g1SXpHaQTK1mewdvz3oYLuGpm0WiursAwzIepfsPX+E4JP7x94j4SN0srcOlz++1OSkCGdT5s6p
IqUXYu+wTkuhuqGhPhDkdhiI6paxclK96Haav0IA6W+FOvA0+q7U+r3qK4+D6M5SVU8CyBIsnnn8
0L9qCmVQWPh4a0pO4A3fRaUa66z1GaTb8AylPI4O5W8TVts4jzYMKvpVbaoPGGauyrpbQBBbGbVy
3YH7Xmr6neW3BJBOb2B8biej8Q+ZURY74Xs3RZodlUx4NN0TV5+MF7UwN5bmMVwGHM2wRnf7atC2
MSWtpvnvMSdEekW52I/ggUC7a2tVLYy1COXGKmmcclMUQM8525u+2GKyfar78Lak1B9b/86r6i3h
VFR+MwMVYQDv+c4fk8emDLrdoF9QNKwiwXA6MkeWlQHAUH7uG/8uFFO9ss1uq5CV2kz2rqrN6ylR
t5Xv8NGoZ6WsskWAX6Zrtdt4hgMIlBsru+qx76s903jzWCfs925SK1ritn0ZPhhp2LD4073VMuZe
KXPxdVCCsCzx7oV2x9NJjwKTJiMH3tI4FlsOjBvLz5wL+G2gFqAO3ElBWqB1UIcwUQ+Lrk3fOlgX
uplFa3YYLHxIolaFliwHrIRG3mw9OuSrIWnYYjqnu4qSAcWOMn5kVY0Vk4iXeCShVkZId0wmDa6R
JI8dtDsqdrPCZwP3WQ1qS1mkkQlwNPWx8jfFOSvV5ilSLUjmxlQp69bujeu6zyaMKRNjzT7RSTzq
SKPAjz8lEHWVA+7PKxi1F82O1/oQuZY2PaSld8PEZ9+WMGIsyA1aYrduppZPXg9OFvuHW6k18aIx
ChIdwrVsmrcuapF02M+6J49djxURfjVh4OvGAzkg6zt8SOPKtoJXVtYHIast3tmzMIZ3L5J70kLQ
SQQ4VUJO/bUin4rJ2FthevTCRHJCTokxwgJT4N9p2aLpTWKf+jIVNlZJnN+AYA0XINF2hW8ejCHc
qhXskbjYpQ45rLmIV6EVE10RyWunT2+bgQ0jH4l1zrK7jCxdWhPxnqJzJ4RydKhcOQpttKHcNZ4D
ISPY+Va5J4roEYLxPsHPXkl2WmmTG198ojBmPuhfDx4nhRE71eQFbkU1bJTNexo4B4UYv5qbbhja
feskn5jmQ2Z0sh0e95tKA5GohUtHp78lU3JVBnFbx4AEm0xRliOer9FiVg2X3+sg9nuRWLS41JuI
oMVWe0IhyxBdHdaGgi0V7DZHC3RtGfiPMYmfYBMvQZz5i77SXCem8dv6CfHU0YPjeBtpTxfRaQF+
HPVu7NW1jIrHnD4glTPjWKULP3tV3i2HqG/dJpCn3hAnz5cv4IlNFzWmq3sW7ONw54TCWfu+t+/i
6b0YjVNTAIRifW8OpsbN4ue9QWeJDlcwFqrrjaZ9zlE7ZTr9BCb4q6AR14muHJJmmKNj5Lqu8dF6
RkBkQI2nJhjNZ6PHrOqw0mA9GuAk2TgGYRQPxnRdKOYzCEpvXYTlk8AFthBmu47rLsEnxLu2PXXr
zEsPNIRFlzvB1q+gEBtFfCyY2sfo4c6KVu0L1S9XGp5DICIpleJQc0Qsgazzb2OMbqArb/1wKDbJ
lO7oGTAgb9rDVM27tqE/DSoPWiQgLlQD9r9y1E9qHJ4A3y/1SA92VjDVhwJLGekP8hE7tn/VQ6Nx
6uQZm7C+nR93U84C/ozdHGmyfLaD5jYr9Gv6iOHBkcQuqsXOL8QdUzcokIbAp9jSyGBeCPWv9MWG
CT3jLyP9aO0chJiEfCntO2BxVyEVfkw7sEv6wa215mlUyxvmaSgkCusUqf4pJU8hsfRxnw3RQ5k4
z/ogb7Dt5HtDRhnZPWa+1hr9eUqdnTPzDiMR0oPp+MNKqa5zNSSUIdO7bZQwWqy/YDP9LwjNQY00
yogKgqdr/87ZjKWpuNrv/M1vKr7L7yLQ/wPS+pKHWVP/7/9Qin3TZ/6C1TLRvVhQkpjlIB3/voDS
QiEGTcvCc1SgGM6O9TQsHP321xeZ9aV/6U+/XsRUgQfJWdX6QzM79oZKKnUdnsW4U7KjQBCp6HdN
f/fry1CJ/udlLEZZOpaiOQ/v+/fiCeFQBQgO7tpHn98r8r84137y9+n8q+iLZkk6yKnv/37tjGae
m2lyznputK3tvf7j10+yssYnxAc1Axm+//tQ02nQGmV6BhCUGhfDOfz678868P/4Gr75fH54/boZ
q7Tv+XyITFLSZUw8hbXS6be/o7/4x5eyKLtnXbqBgcP54atIbPqF0GPjs4i22AgbsShopOpLtmFi
z359rfll//C2vvta5lv8m1GJUMO0Q7manAu5pP9mUHc1SErcsVv/+kI/+fy+u9APbyqzIgf33e8X
oiueEc8erNlH5q24+C/32k+eS+gZ2BdRpjGomplo374pidAoZ+PNzrVce8lrN7iG9+nXb+dnt/M3
l/jxdptqYlx9Q2TnzH6NvGdd+f+4nR1cG4yK8dkAJ/r+LURlYjS6omXniBWQBm4y/iGU/H+1Ds5o
QyZkwpR0f2Ze3w8D4kxBwt2Yan6erNfeOrXzxKf5L2vXz750bmKG3cj50PLNQ+pv7i4nSItstKf0
jDEbRMQ8cTGuOzS4jMrkf7mTf3Itsh00PHCWzaDxx3Uy8ABmg+/KzsFcU7vhzKhwrZKe+ka7+fLl
/zsY1lge/n4wfHrvXj9zH7/jxGzG3ef//Z8/lBT81jcNT5qn3Fe6xk2F7uCv0TANT80WAqOqLpGR
ztbYrw1P5zdDM03kCmgVrPnX/xoNO7hDDJQMZMKC5vlnLU8pv1/uvpg52NzAYDLz5YI/tjy9Niyk
4YXjGQirHME8aR6199A498Ok9Qsxgrd1QF3ZU3Jjj/rbWCTK0mLEt+iDBDFWCFXPApVVx85ZCtau
QTHfnCA+Jq3zALfvXvbZBx70dTlTt0K8pUmRFujkzVnGOm2Elh6wvGO2n6ld8cRZV5QwF9gMaAnG
D6ZvTmvJPomkvqQZiOEj14ynOCHceJzeFM+mzQcqrAcZBgrwUoEQCzl1bvCA3abAxfJ88E8euLG8
74rFCIBMtSmahowoO9BkcpxWEaqy0m53LegyGI8eRI5snQXKYwvcDGTIAsfkiU1oPekBC7VlwSXO
aozZoNEYuq1LG7yPRKyl6upnxpznOlZNCIDleDtBaw07Ty7Vol5OJZA1I5Jonwh8hYirRK6jGM/p
FGsuyRkWCimRXFl56KzKHp2+MngbxtdQhvu50+nAfRvJo+/hiUmQcCYYDioU44FJUxkvfWZ5HNNb
vyGy9AtSbjDpk96rfY+wFuxPGayojUTgJhHuYnqxfoTWJfATfeVBT1uA5z1Q7btxPW5EMmynvjPd
FkbJIvL9zSD0bml9ydIAZKFbaFpQv78XkXFMBOA6PMsvkx4HCxzYlBtee99k2UsI4sMzgP0gzzX0
eje2CPwrEmbNKNvmGvD3IC4M5s7d0RGkIMa01oJAPI66eZUW9DpTY3wtVaO811PQHKl+oxKd1Rc9
vLRhM0SRx1TcY0ofelsMv/nSL+UeHpm6cBTIFqMyorlJ7QelA/lilsq6d7SNCDv0BUwlba/fTY4R
L0RemAvdz4hmQ+5LftomDANrIazpkmneWrZgEhRskFXVPkz0BRJD+8glnxmx3k/CphHvxffoMZ/9
FHxdwDRqaGym1tNTXSHTFowXaedZSyJ63WxorlLEi/RbpqcOpgw1/mszhi7ZzHumuCs1LJ7NEHmm
BzJ6GQtK76RK7lq9ug/YZhdFq9e8tHgP9MktZrRfYz2XDmVw1ZrHCpngFOgbIUkZhemzESMsorZ9
MWz/RmMwa6nZGc7BeSiEwzM2acgJ0DqUZnaY4g4hMMzs7HPMrLqlvnDr3tvkYY8LZzYEYbm5hKax
soXHf5lNQ41VP02zjQgC9ms6G4sMEUOEr0mbTXzsPN14Z842pCFPQDtX1h3Zf3uYHc+THRwTnEtS
UzbqbGVy8DR5qdimDjB20yp3dHW4Ab0Z84INCj+UEekFD5R6x238hCQzmJ02pwYPFYaOzw5SQzdS
+kvu0YBKa1Wf8aEWLiZg9clsx7JnY5YRD8lljJ2bOGZdoTAud14XCDcdVVL4TOdtwOMV4/XyVExf
nmV4K+IQEFKMpeNWkbEv7Fq/TLjFlHH2jSHwiG6LTP3kjag5fVh7U54fUMq/qfQs2hnGl85YvibW
TkHjR/isghoyDg0lstze84K8hZa0M3LlipmeVBLnTsrxwgQ1wloECtDTq8MEG7DR1KsQVmAQNDcV
fS9YM/iHJgT0UAUh9tH0QdtZNAFmnhk9iL92FQVpSz9Y//1M/u+WP+/Qf7/ln6vXzH//yZbPb33d
8lXUW7OwCx0Bfo0v3pA/1WD2b2wChsbubnMGBBj855Yvf2OKaSKCxNnJBJI0969CSCl/k7Zp8g9/
1gBrof2TMSdzTA6Zf5U4VJqccPn7DhWsBr/A/uEQWprqGPaW8I5EVgeunJLYQZ7oeHtlKMU+s2pC
dxUxti96FFyF3vhs++q0xEH4SXaGSu/H6C3yDRmVuKUUUHmLsnCHKIwIODSD/IHUTHNcghSs/Xma
hcI8Ck2NRVtWr3rihe9NK7xqrWUGG1Ld5cuMxmDG+rgOkJuVRIjVCLShcRLsXBEMdIW0yFk4MSoP
r3U4JYSFCQbOQJQ+VNWHYvsDzzTSCiP06MNrLCK2Svd4FvAokogmeGZ0/kYfJVuF7JnGdTHleyYX
x2nqr1U5HYIOYrBUDkjRiQEJdgPhJEvDxHBDu9ZY5nXXrrRaDw6Fbm5EoVwinvmbwrP3TRGwmfkc
Q3waM4eszqulpvSxO5rECVSFAqO1bM9DU5+VeAA7xgRpMdIMZo3o3QAxHSZRs1HQc8mx+ohlcxsm
4laYBGfQMGqyi1LG01HqiGXKYu0XZvAEA3ppEczhgbuHrEOKh8yDDwsb4lIr6FpqOVFJqNqdUaa3
imn0aNvZHawSWFZVpRtUOYSZwU8c0G8tvMkyV5qaBefOJ7Y0LKJ2QZjNuhmU/MbsaRETjIncj6wF
p8XmoKmMIpUjaP91Z6ohRNNCv68dlRY57eCKdW0N1RMHR5EuByZji6mwimfDa8ncUhU6lotM8+tl
PTIV/+ZRvPx+C/+y/cQDNwMebMfkwE3D4PvqKhJBL2Knjk6aCIq1THrtNRj5nHryGv8g9fy7/kkW
nr9f/+bEpuMrm9J/LoHzL35dAjXtNzx10H4obmzxZZ37ugTyI0NDhG0g7KYSFhTyX6se6zf6bNoM
+zSpcZCD/7UEEk0M74C0RMQj/1gQ++MCaFgoaymfiJ5DDIuq4vv7pG77tkzNsT+L/FJBcxuBV3/z
ofzkTuSVfrPEzoQgPPhA5o1Z9Q4lZq7Nv6nzzZ6EttZq23OtR+RnPCji7DAVIuvNg/x/onj49fW+
SIx/ecX5FX1zxXn6FxIG0dJ6bRXicuYqYKxzDSa1n9fXfZXbV11jFCczhtJcm2szGku39AbPAEPd
EDWCd+kFZ4y2I0q9m0PX9JVa57CP7eBgYNHBmx0vC0w7nRJ/OJh4ZkhEPrt6rBwQd+RXOH1mz4+c
3T/V7AMi6tZn5G2SGIdHyDAsyQIW5htvHDJMt3iJrNlVlE3wczwtvFV6FHsYj+yu2+MvIHw37A4K
1iSMeEwKPQDeJedifaTyNPtrD4UM4Stym+fqpcPoRP7lLhNtuIixQOVYoVqp3FezN6rLXjqsUgOW
qW72TqkIz0LMVHphXwWzuyow855RF44rLxiPOSr8W6sRDgo7rDvZbV4G5tYsi2XEgHNbohpprqeC
WfGyTashPye+fmjAN5+ydDK2ek0WSNrK8o1k4gMxw0eG3ofCCndD3LPtesyx49M4mY/q7PHGF8/+
JrFSwVrEW/GZ0FrD7Q39OBT6FSz1VRcXh8brobmNOzS0FwERP/OIMxnGQz8OB3w5+aqZUkH0YL+v
O/EIdJFcpxxXWDbdI8v2F146Antts0sWNxumlKd4iq9EHluLoTBRFzQVepAB2yb7P9hrWkZ1ZN0z
CodtRGreWksLauS2b/CuafW1TX17IKuYysjW9kn62VH6sx7YN3XLGVsNgMUGQbVWmR56SXhpM+W2
74CEK3wtaCldO3SYHTafrQA1h2pG1xoTTqdNW0xmKsoEc8Vo7prsX1IzqDXNXt/0VbcWWDIakyGw
KlZ5nt/i67ykXol+emAI3yRxdzOMwY3pqbuK+twu7Cd8GMsBlTnTUEUuMbx+ZJJgXmaMNCcIF6Cn
QI+eOWr3Lnp/n6EbKHV82KxgaE3QZUlJRLTSU2v4F2yuR92ItqWRUhIbbmKBDBi8fV0DpaU4q6dm
lgGc6DautF7ZsVBcj7bfoHaC0ip1b1068kGvaua7tM3LOOtnkuG4jRHP76oEH1qImkKOylVcT3d1
0YP4TZpTWOW3USdWUYQoqPUiB1WG9uq00SuKmmNeJgSgR8y7+roaF17dp0vD6+ztl2Xm301vblf/
/aZ3Sdr0tf7Jjsdv/bnjid8ENGxEg1+SQOZsvj93PMxPKBsxcYOl++Jj+rrjgdHGWM5sQ0eM+Eep
8DWdkBagg6PEYbOcoS3WP9I2oqL8bkeadyKLVjAtxdmeha3qh7ORHvgZjqVRPRvoduNt2HUaTa8y
PkZestQnnudgeuRAudDKJtkQ1fqohEG9SAM0xLm/ceac2JB+GghIaoa8uja7fOPoYt+Sa26mw06S
8Dq1WyNSnnPfJz6BPAD/rEaOf8zD2l6aBkkclspEMK7Rg5nj9JmWFoPclv4LrOFnzFasClJp1nrf
PE85ybv0IlbS6C40Q6RbZkrIz8V+6tAPawhydM6A2EDZmpR2hIst3sOi/ugn7bOtIITI2zhYVtpw
m9oDYQADcd+j8lhNOgdfuBWRbRL9NjmnzBzHvaLHNxRGMzWYrO2BaC8OmvyPXv3B0RX8x1R/qjp1
BTiU1DktxGzp6aTfBVXJOFh+EvETrZGgNkleE6Qr9BVxF3ABPaupVjQ4R31pxHBVqYikZFiLZws5
jWycVzXUvc4Nh4ppe9YFyK+zeIthp6RPp7SzMrBwqZdoxgpnHh/byZqWDmmHWlepSzOs2Kz9vrlG
N6jyxpLqustlhN0FDB2Efj4qosAXdUXdEZTRvCHEGmIb8ymfKqqyNsb4Xen2Is9J1G3msAoCr1LX
czzIPlY/XnNv6gB+IxafvlsGuZlfOczhoazo4RFqRbTqnba+CoCIboaKKoshOujAEmMdpgACy9S4
/dCc3N6UQdmy5Hn+VjWVt67h64NIX7qI9vHQlBQIIXLTrS7Md4ctcNGWfe8ijqPx5ui7RLT1kmjl
5GJLP3bVOsPvptA4c9SMnTyRwFi72tjga3pPB9XZYA/BflcpycWacv+KTw5rnddnr3aO1E0bQ7H1
BJS2WqCIz8DK0FZt4mqlWhbtIyx+b8UIRjKv6fzVRh2AJFKqfW/l/d7v22rjBEhxwSCTQY2zx+XL
01l6jY+QKRYbaAASWJeb2SkVLMSUIkZ1ChJJbFt/EymGI/DzwKRTjAy0DTkGFHrnEjuiKrxKjORR
hhOHZ86/qgCEYPWOs8YNoAULd5D2sMZJVUUfCZajrc2B+zonOmWF66HeN+BYEDbSvq7EcJdwAEJb
ysksk06MDrd8GBXHX4qJ4O4cEolbBwNK1/pZ8cvHJM8IGrEditOUrluX5qTzCgsXwBg9kAZ+ico6
fCGq1yJ7xQ+QmNm4WAqEGFN7jWzAXhgmFkfQ++XOaU2yL7sX6v1179vBcnCUjz5qZlNO+CyV6Ar9
7tPAcXmDfwCqQlrNi4hz5KPYtbHzkfOcKnPh2KT2nbCNS6kGV4VqWIusAmsh9E+a6Tx2iTKs1Gq4
NFNl7+yq2uZTfVtPzj2nNogXDckgZVu53YxxCJl2bKRGSzzKENjZMG57ytHKDm58gSvL8onmbhNZ
7g0xvdJhBuaYEcKck3BteWdbcpgbJNgb/Jo8KWG1yLjZmIQkcJrRXr5FNn1vM26irS879FE6J9yB
aJMroEOkzZh5jeknfQN0wZol2gzlSXnJe+WWbv1s4YjDKx9xHf1Sv3Djsbd5STSlRwX2NTEthErm
vX+dMvenh43gEPSFXEzCI8BovmhTGIELUMLZCOxvN4lfFStb42zECtNuSIUERW8MzqbQ1REwR0CI
HNokVhhrxA8/Rq5XhxLhVqq7zhThyamMD3onZNvp0w4l4pl+9D6V0QE0YOrKXmgcozDmSFLo1jGh
AuvAMgRnRMLadZHnW80cyC6kyR8GyYRMKtQ2mpwPgBGvNkh5arWezIUkI7GBrlICkppVSpQMcfqM
d2pU/5e989ptY8vW9ass9H0JlQNwuoHNrBxs2ZZvCrQkV865nn5/k5JsBdpreVMXPECzL3rZsoqs
yZpjjvCH1ljhs+khf6GYSylkxhAm2EMVHnaTaQIthzDVPExP/5vq6IwZf53qfMji9Ta2q/itH6mO
QmoCQpYKF04I9fizVEc9IDhD4kAbh2aM+NFTcW8fiH8Ki0Rj7gxC6Flxbx8w4oSsQ6tStSxBCvkD
xRzFfll8b2aaog9Ea0E1ACPJr5AVup2Epd6ow7lde+UF+jHJVaDk1pcs1tWjoYuim0GBwmXXrXyK
UISLWELrzxSjRbvL6eoPvpzFGOwCPzexSJtbUl3OUwjZ8Arlszj2ndNWU9wTA0GtS62v+f2WHsis
GXEiY5DUryTbOerVsZhUtV+vwKZFt4Erp/j0di5oUvyCyrzqvya+7x1RWMICkOpwpqYyHU7bzsHY
D58cFcB2rK0HN7FwvFLsRZ1J3XEKj3JeZtgRMKN1cXSTz+k0ZJMmiPCZMAsOlcBALk8VkV34lMsb
z3KsooAHKp1+WeNojm+S9x0ViRtfmJ2PbjsNhKZJhu0pRNDoUB0d/MRIKC88xfsi45oeNFq50PMU
bT8M1QO5lpa1MFkfPezWmddZ8xgtHUVYsVNVY8ruM4GK4lSft8xsV6bCwC0wPGzcE4ilbtZejiWU
0zxGCquRcLaSDAM0J/ZgquechRopYTuwOpKwi8ewHq3tAAv5iuxnNghb+QJ/+UYNvxa5hTQYbVJR
+4dzxcvJQ4qxFqxbfy51SjmLpUheuKayCnWJATAacb2BFUgdQQUem3wNbiU87Wv9XopQkkOWGLdP
AwIkrH5IJd4HbNou8dHTJlHfL9U2/qSGHT5esFfpdqrxeVsoF5kKvNarGPBpyGCgLURnlaOkwAkt
531MM8KnodU9/OUM+KZpclxpyr1hZM2CZPhD60dMhUhAxLQPlZREPrc8Z5Um2bLVjJOwd07zTl76
iAggaeGR9bkmSoTok3jBeTIGWNngYOHA10FgYDg1hnyWR9I1Uwbwxr1+bLoNP2ncr4laftNwIJs5
vn3LaHnJPO+6QFuFRDeHlpLj8AeXe0jOigg1kymQhuZWt4URrAbJZuFm/YnT4a8yt0hgThSzKCEU
DnF2lDswnSwO4RMPXO3hf+tOWoQGEeq3wXh9ixcJ6JJt3VZ+81lARvXTRhEWYe03vpa2Ce/y6Sf8
1s+AjBgtJRKVEuQYeqI/u60EZGpSxcI3lywGdMqfBGTkDF7XnhbVr/h0yCAwvXotKauFbYqtWt+d
97EtT3UwJwvAtuE8DwWGoK+ZrUcVSZKhtzddmBwTHJ2liSwa5mtBICSIqpmb2gpeTuZcsg0ai0Nq
TdECk44RKFsbrjqeOU1935lFhcEMLPc8dj9gbW2epi01wNBqBblTW5yBKaXT6X+q/W7eySmuHo59
hH7OEdoE3/Et/9T5GEDq0XkRg/lX1JUTQLp1QhL1INFyAPE0E0f8sme9rFfMfLCE1A3zPrT0686U
vkatdN+1wpfDhZnf05tDOS25KxI4d5GMqbnMJElBQGDSoTk0aR3z2+BDGxRKq9MY50mYDCgNNUP2
yU+yS9VEvzGDK2cNOpVTg122Vy4b79QLDjHGuSoqE2aOez8KqlF6YSqQUrQyOkvxcBz78HNSaDRW
3Vs/NT62hksZEn4fPDFDj9VLWyiT2aghzluvukbnDJxYg8NDE/vxoq+RcqBVVSASiac2rN5Zjcrq
qrLlcKohtYnBaGNR+urjlNg8Tit6UnNy1GqGm/wq8sEoJJK2bLCRvILgpc56wAeTcKBVrARGOzMy
STstC8EgAJozjWwlPxql8iqrevpxIEuXTQ8xA0DmrNTqAFJHaKwaF1XKT6knWd6pWo3J57Ay6J3G
jMZYvnac9hq9hbYPKBsN+3sF4Lz323O/LmF2bKzl6o3NXIkpxx0sdUuCjx47q0BX3IUBnefckgMU
UUd0GzzUXRe53mWnyagG1zbsmRIjMA5X52sU9DTYoHCcdzou9FLeMM8c7I9O2h1qCdYjpYvEF/34
Vako11JDLtwwq5/37pgu2y71rlCTLCZWBaCxSoH7yKylVrWnPZzHjzwBFmRSC3PqIu4v0gHlTLvp
8o9e0X6rgDAeW5FKSzT073OF0m3UBw5lRzmT7IySTgZ4n0iGgq5B3azKxi1XKnyrD4VZcFplVvox
UqF25UrgT1s9/5jZ9ayuTewzSWHALRmr3sR/EwtmaiSRXNTZAB+IdEPSyn6aiBTECNTuGLSkvRgC
1zyqB3nNCTIt/O4TMLEcpy6SGQqYcObpDi2IXpcO6XJ3X6Owo+E5Fu4ssOt0ibxFdBsxblzFkIMm
Y2EfRZ3fr1qRTJU1goKzciRFQ7yxvOxE2uWDqj+12+GsMi265jGQWRBT7MykLRdYD/WzWk2rU8ke
0aZT6GQjoTs+jFv+WxwYhO5fFwefOIqabXqa4teeDiPFRokaiDEtSKhouI7+rA7QwqFnzgjP0B0y
4ufoB/3AkRWMj2mHwkncFA5PjVANxriOwwsSOQRc8aM/qA5eIqGpDURPFc9mxoxQFGT91ZislyWv
Lcu0ORuHaCqSF5THIJ0lD9XjL7HEDCdfn3koWqk2mlPQIABx6uKDPJvHKXHdFiZopTO5MZzryAf/
yFkXD+PKxlW+nGp12uiHGNaPH5Bg85iAwF0Mbcu7ybMQiRlvcI4VvDRp4ZVGf+EP2pU2ZG02MweP
Dk8bhZX2te0L077o3KJtF6GS6bNWp+NgRlJ83oUxU8YgzzN1nnUxdE5b8lzRYHPTL0E0sIVJ6+RZ
ld4asd5hUpzH53oj5zFYxSgeFpmLaVkMMEyKK5jCVtBl2rncKkZ00sbheVlH3QQ0cz/1nQtNke+N
Kr9LC2/hVvJHqy1WOLAuDcnMlqrMXdCPnTsMP5xkbvTJoYuKxUyLEvjSSKbEQ/EdKZWrMYe3o+bf
G639wDmbzDvkOG+sCFk9B33LU8nKS1QcDfMoDsiInSTGHEetJjC2tO86Focr3fXxQK3Bo2CACx8r
lgy6C/YpfdYzHLI69JrtdoY5s7pEZOh6UKQvMZzyWRb68CjrGrQYM0OYWR7QijnoXTrOurgECnsK
is3XpV5r/cy0U/8K91YJ3JZSzp1e7r/ocTCwimpWT6qoKWe6VKLsY4xXhVkzY5RgnD7be1tmzEKk
6tnId/Msk7eRqdHbt6h1X42x4dCjdM7c96yaJ2uEnJUPzCwn0qSY1qt0hY4G6n3zZGnNKV8nxpG+
0OZoQE7/zh1pk779xBNByNEsEjzM7TBOlxFZe1Vvg8PpGgzVsjNX9Y5oufbTyMNZLO90dWJbkTMv
QMAy2zTR/AGUfupZJUJpfEfQsJPpYA1njstpgcb0VyiCzqLCTQ35mHyBl95X0HcG7VA6qO7Yfy7i
nLZjiXedVSFu2ncunrZ+mODk3M/pyC2xLpiGYHcK3XaFg9lq1OjNqepSF55dRU23PnDo5ifpKuyR
d9B0IYCdo+HmnagudRCabQoeY0ybkxDNWVLGrne0ZeFhLlVp3rWHtr2iJadNb8sIb+dLOeJBs5xC
XzRy+Dd0gZdBRFCdECSGfk+8NAGPO6+CiAME28kTtzyTkbZZEggQAC5lvLwCfw7ClyZz4a3/5qkC
f/HsqXr7nq++TalvrbKNvArTPA3UTgmGx8tmY2Wt9ARDmALcp2fC+LeYuRpxhZ6rng5Q8UiEbck4
weTtixygW9dW0ncmBIu8KE7VzLyU3fHW8IqvCTIVqGQU+fHmg//3TNb4Bn59JgtAzgJQ4m1Q3W4r
E/nlp5MZ5A2MATCJsmGZHM2cfT9GlJrA1zAcFCjDh0P7qUy0DhwVgUY0GH/81tPJbB2YiDMaNo27
dwHlQIQA+oM1lAYl7tVzZ8SybIduOZ6P9eeCzSty0WcLsyVgiis8i1MiOHENthNWxipvIeLpsyOZ
NNLM+1yjjdRL2KYujBgDXOOubR+m5L88/F/GZQH+efk+r3YtPol5UQYGo1ah+1iedNbd728Eksfv
70TEjWd34jEqUxufO1F7a9Lq1xaTEvJgRzp3mnbODHpatTd5s2qCixr1OyW4D31owhdqRv/vg9eB
GMcP1vDmNsJjno4a34cOYdzeSf5mKQRR5bdrTjb4/JNqgeTWXSnWQsPHAo5B/rlpmQ4p+nknRK/R
qg6G7xaCTgX/aZvB9PdLJboYbz4A1nYCUUYSBoLs5QdIwa7S57WG86EN8SFRnDI+ieB/MVDZwHec
kDr2MLRJufpqYjTdlYLnOiOfDGVOWRqnJbyJiZo3Mqx6Tz7qqKnKZZx8URPtqHNl+haqFCrXvUaE
1iIHSTcXa+k0DNG4KA9zBtOoFCyUepi19bD0x/PWDOaJR7OtkCbIuC2hLF8k6oU7hugbfhGWJohd
V55IWmIEx8xZC3hR7dBPMQwIGMxHwnwW4chIZJ2ZDE3GomQRlWmDAoYlkzXlq6H4UnEqDhi7FV16
rNT6ZRiehn2ybKECXiccJLk2avPM+VjrAmnDGSsmLEbg6ZA4C3sm2wyAsii+AZrKWQiM0zHcSpif
/g2PdMMM/LktRbse9PnPjf86U+4CEJt1X43n8lJbuYfjSf1ZW6I1cV5NlJN6VUzLOapx02GhTY/K
o2SRzfob6RCd8aW8NE+DRfhgF//L7fvq0H2zfcUB+Wxz6XHcWIl4ZLPoMEP4vpuV1QSWj/w34Wjb
k/k8HL0KeHaQjLHv8z5SOok/9neFsD2egikw3b/ZBK88BB4i0vNN8CpTdNgxpeYE6rkP/gkp9hnu
IiXiBCisoxx/Drnj97tuWwQEAQ/hi7QQHOerCJiAB7GsWFOpQsjOx2+tdPH7N9gWAJ+/wau1o3Fn
YbalqudVOxP4kU6aVv3fJrbbQsezu3gVZZ3eQbva5k2c9ngsjmrzo2p+/f19bDuSnt/Hq/A4cFYD
yDbUc6RlGeaA8TBxAzhz/P7hG3nv7Og0uC2zKvte/z9x5dssH8rA8+v/vPxj9fBn7z6brev1iz/M
N1TIy+a+HK7uqybmVx82nviX//SHj4TKj0N+/+9/re/whJwFVV0GtzXHCz2IF2RLQVn8TXqEdm9C
Crztt57lRRqIDOKQLdgVr/IiA7IELXTyBTrsPIdPeZF9YBuqbkPaUIQ1h/gYT3kR7XNRj4moRr8C
Du6fdCz0DR/jZ4Dc7F7qAJ1qE3k8G9XQlwEJpaE4jxAgO1c3MxhRtwNJZDBThs281TFWkhM3WnHS
Uvsozie3RsnCLSlrQdx+q5P4g5V0zkSV1VlT1xjN5MG3RpIPq7Y4iSRYGyU4kklQtDPXbOsFfsRf
O6v3lvD4quOkKA6L1ptqY3Cu1dIhyiqnFVQMpcTZFxwizgjoX9LJtFdpgOB6J80s8E11Z2bTTBov
Ipy7pngYXHHk3jiBJQGDSi+HSFKYNkkfJR8zCLclTNDpX3iueRyHX6ikv3ae3MDxCK+qEumVsqim
ECKOExnJJMTBlkOWqadyrp/7eDJMZEU/HsE2t2lzbFfuXe50xwGbVR3M6FLv0Z30Uve009Ho8VTp
hoRkDmhVWZdDJhrxNuVN+SlQ5TsPT21BVCmmSABc95Z018Brn2a0iKPIPh1iz58r3IMrR6fBmK8r
zHwWrRsF825Anc1XC2OZGi6W6wjVlXZyzXj5HLz518SEARdZ6klvF8taj7KJg20RmrvKwq68ZeEa
55GKiInRjaumU+TpMDqfQtNZNML/qPWXcm2308oOL9MErGqb9id4TZ10tOPnnZt/CXy84VsV5xCm
eZ+KCv2qKKq/GCMqZQzpJnWVfM/s8hRxRu8EGWBCjO7PUuRkuqpBhrdWV5UL2rkqvI9qXMLpQaLf
tmD2dmaTz+H13OEF9cFzhyWAsX6OA8PRkKkbhPV9r+fHo5kCKa8/83erNKOZorc2HhAqhrJ+WGPG
GsYnTp98NE8yJcL/CHEhk/00Ax/mz6ym+p4oxSq0SoTM4P+SY3momkSnSlPM86yBQhlBd2ul6oPS
lsvQiG70QcF/grlmbhvHIJWdaZ3RAUvThHTWHxZFBcW+HuMp8+354Fs5kiyOPY3Gks4RooFh4tZz
ddCWqpcdR4a+iB2AyBFtZj3qjkK/Dqd+OZyVDmuvu8c1Gl7U+4E13FIPl5/9tEZ71HPwhDLBOl2p
AgfmTewykS7l3CmuwMwk8VLpgwUayotI8oEqqu53VGbvXTqT4OjQyJExxLbS/lNllt/qCC33PMsu
Gf0uMbG+VHA9sFG8mjJxmOW9RTPeapncyMjRG/WZosU6N5fPCwtRKq0PkTjssaZH7JS2uDVOQ+Qa
p3mQzOqsX2jmsO5NdYYB1lfbBajgDNd80RTtoXQ4BNJJWvhLP5IOUzxd0PaYeiH6cEgrh8mA3hIw
uB70/aCPRxqCTEpRznxj8DDn6xdtgriPFoQnVgANGZbjxOmtZQewPckTvpBPtdC/7BshjUXnpTmk
KGAallqzIalmfuB8SULRXSn9kzaHRzQWgYP3uNmgBY3vBKAL2ne3FQBwGTm5obeARYEx0PLhlKHQ
YVdqZKgqgDdwRHy3+O1JlD5VeYus3XnY27Mq1D/KgZdMnAEeZWRB9TXSuR6xC2WYpgVYQbp78gej
ce8LU7hztclh7Xj2tLLaleJZ/VQqQPVryYUr4wPj0x4KA5TIbIhYvt6cdlZ63KM3NUkiwLSefYP+
06Q27VXDNL8c5CW0bGiz7WdZzQ9dzDFMSpJ5FMbEvz6VJrmZXWkNctjBWCIK6AHoDFfAHSd50J65
5vixAIRXqPWlqzZHZdHCZDZAqjrDjP7nwjTLuYZ8IwDOdob4+EgU1haOUR/L6biwkQWaOgNtwVz+
FruVOqnV5qsW2PG0A91zqFjehcI8Mve8S2W0T3AhaKcj8moLc+yOZDNivIK0YJR74TyRAudQ84wG
6GN/ocUSQt/DBY4Q3wHULdIkn1VmPa9KW1oEQZFOO6k+H+r8orbs6z5o/GliGHDvE8OBL6jGXyIQ
yTMvb7+HVXOMAtenuElxK8pOfAfAWlMGV9jWzFQQ+4aHd16j5Gd+3y+KcLyOFHWcGG30iQg8r1Lj
spTcDJlD50Yyy8990R9T0eaTqkmsqZbb01rxj+mzI3VunHug/PVa+CjpwyFGiiBRUBdA4REEXvQJ
NGEXzRQpVRbSWHdTu7fnsRwcqgYgjbxLxlmf+Xd6qzWzoc160cFeO+N4rpSJRo/b8maeqix6XLIm
rlZ8t2pgHU4dnTLUI1zCfJn5WfA5C9WLLFGvICcwsMx01F+qW8YWM0gn+MsM55XZH44q8au0lAaK
QHrdD9KnvM8+xgGeLV2qzfIY+yIbHlMboV6ojzZsCKAycRM2l2WNZrMRW+FKF1KDJu5WjO4U5u4P
fbdflkvqyxxW1G8mgEsACKhSaPCpXiX7VQERbHA051z5kEy+GIv2ophiwzN11h+vqlPUr+YZDeng
xFh2M3+VLfwjw1uFp/5yk9e9d4a7vM/OwFRULzPavU5wqa5+k+AG9+W2kZzobv1IcOEm0KPDLpiU
9RVgTzmggadCCVYM2mLPR3LOgYXwKymnaMjBF+aCTwmuc0DDDwadBWNL3WTMT2n+xUPiSoXw6wfo
LT4EKJnIv5kLMiuj+/cywR01P/HVLJDPgQ7SE0pGtPmUr5l3h0DBiDrJpESbAGXIBs01Rz3pcv6+
VK1zEyWDBlKsibJBjMIBahdTwNb9sor8L2lpLEGHXWmpzaEA/bWybnC1BYeFasKIekJtWAjkVQRS
1WuucXj4SCuogDgrx9MCUccZ0nA3LnoMGNocGwBjyVDWI2g9Bd0GVZeKaYKSg89J4ghph2gMVhW8
wkmI6gNnxqoTMhB6VF9AOrsJ8agc0Ylw0IugasASAwUJqUs/M4P8FCkJ/gNoTJSOtBjRnAgcWFnc
2TJ30CrpHNTngtpEEdoGCYJmRY12Bch3Gw0RfWmhalFWAOwGdC6KDqvMHPnSw1GIYCCgehzKMUCC
TlqhG6vTCyzdVSMNy0zvD9WNloZ51eXNFflreR2jthEL2Q2TQbyHDodM0o2xDHmE3J8i7WhAYLak
uYF6R92CD+jR89DR9QApyQmF0seg3FXgnz30PwbbwG5MZ6gy2gz+hUhIjEkcOnf3mkVrlEnxtSkE
RTqZI0piOlgLsZFByI7I/bAK0SGx7W6eo0vSVKyZJ6RKugfZEiSI0TDBmwcKu2uF2bI2oPEd11kw
4P+Zy/VhZqPbXVsckopaw8UuMrm05uqGbVFtmBdxW3QcN4Zaz8wNN6Pf8DQSNStxfyA/9nDPAojh
nCZNUczxC7xNBd8Dy0J1punMpFTBBgEDPeugh4Cyw74rKr7TjTQnwPNmg+CSWIJV4hnRlTXmw7Gl
WWeSr3IgIY8NTcecZJL/Je71m1SwVNq+/ZAL3gryJcFML4y7EEqLOvT3Yw2xq4Xs4pk6jwL0F1nw
YKJKPS4FMwZQojbXIcv0G9aME610v7yxI6NeaJIeo/hl3ww1J0eum6FATN9RAgHFQJOQJ6d2cAOA
pSMLvk7s4fpwE7fYv3pHKBLe6XB7DDg+Kl5/RjQeY5CwDLP8stVCHwGX/jrXg5w82FvG8IWQ8EII
UTY/uzkZsMHf2Er32RuLywCu0aBLFXXLTWoYFc7IUnYsWdYYzLgUhawV4Q/iSyAm44kk+RUyAD2Z
QIdQTehjeyG8hiPfF+XG2YgJMb4s301HL1FWaWnpF0NU3v73XNlgDwX24TfnCq2A+3JL44Tf+nGu
QGxTdIW2g2bgbCTGFD8GSoj508lwkKxQaHCJnsZT44TDAwU3aGg0Bx+o3D/OFRyRcMalU88MSgyi
/qhxQn/kRQNPZCa0cxCL44iSaXXIrzKTVk3VupCc4ZwTrlrIUpzOK13GzifSbLcgroW9MSlaA8FX
w8WhuOuaDwS8JW7IEDnLkfPGl42TXliWtyEORw2iNmJSNo0HrVqoCqgCaMPZCmRhfqnqTEVNvZaO
AfsZMC2yL46w85Xw9U0xIWRQPV4mAS1lV5j/SnkbTzTPOh8RQJ6mwiLYyzELDrKOI8YGb9wEXgq/
Qb2MhLlwm0BnTWBryyXGw5KwIDaEGTHkqtRGowGL4gCvYubz911UfMgImrkwMy5lUzoMhcGx56BW
PwrTY7mhN6KqVw7V4MSlzIbE3810nJIrYfznds4pw5RJIcyU8Ye6lHFXTpr8mtPrGFbgVxlgXyhs
mIOxU6cpzsy6AdJR9CrG3L4bhXkzFLViaqstotUYO8PULqZSU6O3Y8JcApIYCRtoAz9olwTekopT
zGu/hIFAxQnraLTkMS4xhm9joJ5xaPEHO78KUKsiRmmFfVFpNqcY5CBKF3yUacmAIiygQdsgMsoc
3AmmJrLTgT+pjxtR4ZXj/WjbZMVWi84qGByrtITP1IDseVMJh/gQXWeb8YnjUQR3qv4ZDffTRoKF
WOj5vO1VY1YN965lzlUVG3XV9daoKn5vLCbkVmSks1ofs4Ui17hlxYx0ysGcWGYhr7B+vfTLcW0X
MCyVGkVqP87MaamDPkrN7LBV609hmF02ciIT+8DICyeisWBGmZRTX0uXjWJe9p33uU5zZ1In1bFX
1vGslRBhsU0eV7uC1h9EHoa5AwZEVpySdycVYyaPPkdQOJ9yl9Z/4hXTosLevrM54woEdzk313AS
vGndZmur10o66QhlV5I7rtyajgp00Wiee0h7Jmoj02sb81mvM8CCfvPBci2eKVwsV2qSnNbgw6dN
GjkTF914WorQ7KB74GnVXZqKj0uO5k7SPrHnYC1PElNdmbaN3pbnnPdpVQHVVxlx+Qoy6ZClzVwB
XdCBWkWr+zzrpcMyg9EAg+OWCudzmGjw87qLUG9gf3nJPUHqrFQp88vOPms7Q54z1kNYoMI4yhmq
Cy3X7vDToCjM/ZUWD9+60Dnr1fQDss0hpel4EyOPNqkkw6PBEoaL3AMgVrvmTZUV0NN9/OzD6D4c
QTcNqrscmw7H2lgyJ5UumgZe8CHzvY5NHcRzKY8+p6gkK6WPFE2rr0s5/JqadLLwRYAsh1eZcP88
bTL7U1hKKNO3R7aTyGQ+xtz08yMXpuO0yXD1As82CR3ppi5QQQ+zk6xM4kln4WuDfMyXeoTrEXma
s2pzy5lVCUPcTuHBw+5WP1ejzJZmhYC7/v9yLD5WhFsHCj/qDvHTjUrxx+zN1OEf/aOnAmb7hf5o
QmFwLr04aDcfbDMj+e114jWTjuaOGQg8cQV9SBkuOLoB4vWvv+Bheo8/lrC0PFAhkKP0q3J6Uuw9
/zK338Lb8cyv1usdl+Lxg/0cCf3xUmj2AcMaMJU29ejLNZApWDflI8pW+7IGzxMoCGGvU65/cvvc
5o8HAWNIFdkwPIoe7lGs54tFEHaTCtU0adnTg8Kj92zL/N++5H/ysPz2WX49fxNDtt32BEsBLMmw
INE83Cmz0xdLIYSGUDcDBc5P9nIRREK64yJsmDpCd8L65SLAqmSuqeztIrye3/6TPcEc+NmmoGyg
dWWojw/C2+hIZHAQj35AAe1rdBQC1Ds/DxjRIpMO1/FxLVjc15sCxSsCKCu4l3vCeI89AVkAHoHY
Xi9vXuGEYF4Pln5P716ooe0cEai6VbgUEKrFS2yVF6mCfGDaKD9SaO/pIgiAw26LgHU4PsyIWivm
Q1jkVl8vAu1uYNXKw3vt3wEp75w0kinRuIc3yG1uXq8PSHIFgPto0VukUnsZDOSHD7ZLuugcqOJh
ZxV+sR1QKmQyT4/wIfDs4ZPwEKp3WwSQrzSTf/UkoEQv1GgRidnbwPgQrHZYBGICOkVUCAhGbF5v
jkadRwWhrY3zw15uhzfSxH+eKmlkQiRCaID9IiaQQBiaDOtkb5+Eh0R2hydBM2kzK7CVlF9U0yIw
2uiP2sq+xoQ3vfs/fxKcA/rydMefWgqvTwdiAh19HFeE3c5ebgchIbNbnqAJnw00ZVGTfJ0gqAeM
KIQCwr4mytrDBt1lHyA5bsvgW8XERby44ossCSFzqH0yBjIPK71/Z6NAuu/2CNBaQ3CYx/ztI6Af
UChoCGQ8Hhh7ug2U3QtoHRAI9jRQWX9xKtgHKMXTdxMqTQ8Pyl5GBGX3PaFyQKowaqEsb17UBy/3
hHEARY2zgx6keO3rMflY2OwSHgx2/yZpfIwPb8IDVkQkUxwjD0/gHoaH3VNnk4YKQuEyDYWH1+vn
AUcHqM/Mqfa1wSbc3naLkVSSNgwE8sbHrvPrTUGuwAKxZdQfi7Sf8WH3etI84HGng/YUKlncl/GB
Bjw/I63a103xhk/857kjQv0Yl8GXeTwZXy8CrXcgF6hsPJoJ7GFk2L3NSPTjkbdk8Iqb15tGm3qA
3qEChHJfE2h990abjKILWo8oPv5yETRbkTFb2NdFUB4+2A4HJSmkTpMNT4mHNRBN3BcxQaXlKphi
zKL2NIfUds8hGccxjNMF1mrzerMIuB3iN8Qx+tCJ29vE6T36C3TgqRyZTW5erxMnngdsRlF1f5yC
7l94FDT5HXMGTLCwH7YAl29fBJosoAMtsOfo5ovXnm6Nx5boDvGBLoMiskfLeqwp3jwPSFwhS6Fp
zt7Gh92PSworaCIGxdWr6EiXQeEE2Xie7fWDsHsxQT9FxiAdY4HNjQpgwuuDQoBmKbNREOG1rzFS
uC/vHB4cW0XujTnd062+XgoNCq6CPOm+BobdiwnaKkzffjwOYvu/WARipArNxiFE7ukivBEM/PNi
grGLzQQOUfDtm0IsAnLjMoKve7oIAvi+43YwD1BT30gcPmyHLdkTwkhk2nsL3BCsrR0XgYwA2zRw
PI9zmdfbgbyJJJqxvravc5nHKmeXZIGYgEYlrIpfNCA3Kl4C3GLv62TicZK+wyKIWS2ERIrGJ0jX
q8DIIphAGwzS6H2NCbtXVMQ97AuIjI9lxJaYIOPywVB/X2vrN/Lmf346YBuBBSrF0mOV8CYmCKiP
+B+davHa15RJf/hgO2wKAK9iBEO76VfZo3JAR07hgdjX8Kg97NZdFoF+PBxmwTl7yBbetB55HmQk
sMHC72lkMHZuOG0KSoUZFInh5vWm9Qieh7ajTb6wp4sgTKl3zBYYz5I2UjY+9l9fh0fqSgoMmcHF
vq7B7p0mg9xZNTkEaMeL15vOAp1HpncAu/Z1EYQR4c4PAj1HgfP/NZzHdLA8RIr7IWbs6/Pw8B3t
Eh03TTeLM+IxOr45LeEJQcblvNzXc/IRb7PLIjCi02RBhPpFa2FTUIqT8rGNsX/tV333VpMp2DGK
Lj8hoN+0msC90lpgkfb1nBQyITtGBuBdJhqUcMUewuPrI4KCkh8SO4TI3kP45B338HnYPWUQrSYG
+KLF8HSrL1pNVFS4IbAOe5s3vRF6/L8UE2i8mZTXj3nTm+dh06Q2dSYXe3pGCCf5HTcFqt06+pSG
+au5NWAOWcC9hJbyXm4H4XSw2yII1B84DuYRjynBloNS9FhIGf7goPwHgeMH93jqB/Hdhpoc3FfP
9FL/9h88sXHfXuCZyOmGavriXwox1YdrP1AxxZ//81JbdRP4nv30KRBu3unx9x9v8e2bv3izp/t6
+ssVIlXr8tYfNj8YHj+o0OH697/+J+b/7tbPibJ0vjQxMHv6u+1CsD+egN9fPQ/S+6cLHd79+1/i
4iLaP/3dLhdP1ndZ+XShZxfnmfm5jm8lbP/RJ58IAZan6zy7NqnBzteeruN1y1dSPV3r2fWJibtf
P4ub6s1XyqoTVt/h4mldrv+aZlW97S3ofez8FrP7+K+zrNy6/hzFO19/Hv81y0oenqdrPVt/ItHO
11+U99U2F1cxQdn54sv4Pk2frvPsg7/Hdl01ybcsvqvfXl4gvXf+6IdJfl8G6/jpUj8/vUAO7355
nNieLvPs0u+xY4/vyy1rLkC+O3/q4yD1tgQC5T326sk62hLDBK1m5499sq6q+21r8h4b9CSr/vqf
1LuP77etzHts0dP1HQH4aR2ePS3vsUVP12WwbWneY4uKa+fZtuguQEM7f62n9+lddhtsi14CifMO
1y9v7++eLvRz3dX32KWnGZ99y7XfY5ueomS/5dLvsUu5NFpv98OWy7/HTj1b51sedDEq3fnbPLtv
129zR0zG32OLnmOr5G0JXwLBtPMnv4jXt9v09USj9h0u3iTbkjsxo9/54lcBqWMV3G1ZGcFJ2/n6
H/7O9XhjALFD2i4ssyb3abDVVvk9turDG5TpurzbGsjE8OMdlin9axbce1uCgoBHvMv1/85Y7D2+
iaNsXTTbTiuBSX6Xuzhpguqv829BlW9bq/fYzOILP13X99uu/x77mevX678m6/LbelvOIGYo77FS
vMc03v4O77OxxV1My2Z8+rg/j1/R8d79Fvz11ppQ8Bx2v/jvhLZ33ghBFQVD1jx9zmcL8y57OYvX
27IH0evdfWF+Z7Gz88LUa3SH43VTPX3SZ0vzLlv3dzq3u376j/f+epv7kFAE3HndP5Lj44T0dKWf
6yLao7tfvSESbDnixXzuHS5OgyjZ1pcTI7mdL/97n+pdv9SbLN4S54Vu1c4f/Kb5tiVTFoCRv7n0
trbsj0HW22btk5zftl972YsW/+I2vl+X//lfAAAA//8=</cx:binary>
              </cx:geoCache>
            </cx:geography>
          </cx:layoutPr>
          <cx:valueColors>
            <cx:minColor>
              <a:schemeClr val="accent1">
                <a:lumMod val="60000"/>
                <a:lumOff val="40000"/>
              </a:schemeClr>
            </cx:minColor>
          </cx:valueColors>
        </cx:series>
      </cx:plotAreaRegion>
    </cx:plotArea>
  </cx:chart>
  <cx:spPr>
    <a:solidFill>
      <a:schemeClr val="bg1">
        <a:lumMod val="85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3.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2.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13</xdr:col>
      <xdr:colOff>472440</xdr:colOff>
      <xdr:row>42</xdr:row>
      <xdr:rowOff>34290</xdr:rowOff>
    </xdr:from>
    <xdr:to>
      <xdr:col>21</xdr:col>
      <xdr:colOff>167640</xdr:colOff>
      <xdr:row>57</xdr:row>
      <xdr:rowOff>34290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191E282-9AB9-A358-27A8-EE323AA475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388340" y="77152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1422399</xdr:colOff>
      <xdr:row>0</xdr:row>
      <xdr:rowOff>0</xdr:rowOff>
    </xdr:from>
    <xdr:to>
      <xdr:col>26</xdr:col>
      <xdr:colOff>25400</xdr:colOff>
      <xdr:row>43</xdr:row>
      <xdr:rowOff>12700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650999" y="0"/>
          <a:ext cx="13614401" cy="7658100"/>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34120</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2013045" cy="7824716"/>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1"/>
            </a:solidFill>
          </a:endParaRPr>
        </a:p>
      </xdr:txBody>
    </xdr:sp>
    <xdr:clientData/>
  </xdr:twoCellAnchor>
  <xdr:twoCellAnchor>
    <xdr:from>
      <xdr:col>0</xdr:col>
      <xdr:colOff>150817</xdr:colOff>
      <xdr:row>4</xdr:row>
      <xdr:rowOff>122256</xdr:rowOff>
    </xdr:from>
    <xdr:to>
      <xdr:col>1</xdr:col>
      <xdr:colOff>1282094</xdr:colOff>
      <xdr:row>9</xdr:row>
      <xdr:rowOff>45793</xdr:rowOff>
    </xdr:to>
    <xdr:sp macro="" textlink="pivots!G4">
      <xdr:nvSpPr>
        <xdr:cNvPr id="5" name="TextBox 4">
          <a:extLst>
            <a:ext uri="{FF2B5EF4-FFF2-40B4-BE49-F238E27FC236}">
              <a16:creationId xmlns:a16="http://schemas.microsoft.com/office/drawing/2014/main" id="{2651BC3B-46D8-C302-9D9B-84A2EE8D5C53}"/>
            </a:ext>
          </a:extLst>
        </xdr:cNvPr>
        <xdr:cNvSpPr txBox="1"/>
      </xdr:nvSpPr>
      <xdr:spPr>
        <a:xfrm>
          <a:off x="150817" y="850137"/>
          <a:ext cx="1358740" cy="833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5296B91-AD56-46D6-A4BA-EAB637A03337}" type="TxLink">
            <a:rPr lang="en-US" sz="1800" b="0" i="0" u="none" strike="noStrike">
              <a:gradFill>
                <a:gsLst>
                  <a:gs pos="0">
                    <a:schemeClr val="bg1"/>
                  </a:gs>
                  <a:gs pos="10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lgn="ctr"/>
            <a:t>2,400</a:t>
          </a:fld>
          <a:endParaRPr lang="en-IN" sz="1800" b="0" i="0" u="none" strike="noStrike">
            <a:gradFill>
              <a:gsLst>
                <a:gs pos="0">
                  <a:schemeClr val="bg1"/>
                </a:gs>
                <a:gs pos="10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150817</xdr:colOff>
      <xdr:row>8</xdr:row>
      <xdr:rowOff>24280</xdr:rowOff>
    </xdr:from>
    <xdr:to>
      <xdr:col>1</xdr:col>
      <xdr:colOff>1282094</xdr:colOff>
      <xdr:row>12</xdr:row>
      <xdr:rowOff>131649</xdr:rowOff>
    </xdr:to>
    <xdr:sp macro="" textlink="pivots!H4">
      <xdr:nvSpPr>
        <xdr:cNvPr id="7" name="TextBox 6">
          <a:extLst>
            <a:ext uri="{FF2B5EF4-FFF2-40B4-BE49-F238E27FC236}">
              <a16:creationId xmlns:a16="http://schemas.microsoft.com/office/drawing/2014/main" id="{40B95113-C3F5-4252-BDC9-4631329F4CB0}"/>
            </a:ext>
          </a:extLst>
        </xdr:cNvPr>
        <xdr:cNvSpPr txBox="1"/>
      </xdr:nvSpPr>
      <xdr:spPr>
        <a:xfrm>
          <a:off x="150817" y="1480041"/>
          <a:ext cx="1358740" cy="835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ECCAAC1-2036-49FB-9423-6C839032BB2D}" type="TxLink">
            <a:rPr lang="en-US" sz="1800" b="0" i="0" u="none" strike="noStrike">
              <a:gradFill>
                <a:gsLst>
                  <a:gs pos="0">
                    <a:schemeClr val="bg1"/>
                  </a:gs>
                  <a:gs pos="10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lgn="ctr"/>
            <a:t>11,997</a:t>
          </a:fld>
          <a:endParaRPr lang="en-IN" sz="1800" b="0" i="0" u="none" strike="noStrike">
            <a:gradFill>
              <a:gsLst>
                <a:gs pos="0">
                  <a:schemeClr val="bg1"/>
                </a:gs>
                <a:gs pos="10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150817</xdr:colOff>
      <xdr:row>11</xdr:row>
      <xdr:rowOff>162037</xdr:rowOff>
    </xdr:from>
    <xdr:to>
      <xdr:col>1</xdr:col>
      <xdr:colOff>1282094</xdr:colOff>
      <xdr:row>16</xdr:row>
      <xdr:rowOff>85575</xdr:rowOff>
    </xdr:to>
    <xdr:sp macro="" textlink="pivots!I4">
      <xdr:nvSpPr>
        <xdr:cNvPr id="8" name="TextBox 7">
          <a:extLst>
            <a:ext uri="{FF2B5EF4-FFF2-40B4-BE49-F238E27FC236}">
              <a16:creationId xmlns:a16="http://schemas.microsoft.com/office/drawing/2014/main" id="{FD14A132-D46D-42A7-9EED-C27D9B66F4A9}"/>
            </a:ext>
          </a:extLst>
        </xdr:cNvPr>
        <xdr:cNvSpPr txBox="1"/>
      </xdr:nvSpPr>
      <xdr:spPr>
        <a:xfrm>
          <a:off x="150817" y="2163709"/>
          <a:ext cx="1358740" cy="833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D6439E7-64CA-4CE2-AB77-0EFD96CAF120}" type="TxLink">
            <a:rPr lang="en-US" sz="1800" b="0" i="0" u="none" strike="noStrike">
              <a:gradFill>
                <a:gsLst>
                  <a:gs pos="0">
                    <a:schemeClr val="bg1"/>
                  </a:gs>
                  <a:gs pos="10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lgn="ctr"/>
            <a:t>$649.0k</a:t>
          </a:fld>
          <a:endParaRPr lang="en-IN" sz="1800" b="0" i="0" u="none" strike="noStrike">
            <a:gradFill>
              <a:gsLst>
                <a:gs pos="0">
                  <a:schemeClr val="bg1"/>
                </a:gs>
                <a:gs pos="10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150817</xdr:colOff>
      <xdr:row>15</xdr:row>
      <xdr:rowOff>28909</xdr:rowOff>
    </xdr:from>
    <xdr:to>
      <xdr:col>1</xdr:col>
      <xdr:colOff>1282094</xdr:colOff>
      <xdr:row>19</xdr:row>
      <xdr:rowOff>136277</xdr:rowOff>
    </xdr:to>
    <xdr:sp macro="" textlink="pivots!J4">
      <xdr:nvSpPr>
        <xdr:cNvPr id="9" name="TextBox 8">
          <a:extLst>
            <a:ext uri="{FF2B5EF4-FFF2-40B4-BE49-F238E27FC236}">
              <a16:creationId xmlns:a16="http://schemas.microsoft.com/office/drawing/2014/main" id="{90237348-9FEE-4819-96DE-DBCE8DA76CA4}"/>
            </a:ext>
          </a:extLst>
        </xdr:cNvPr>
        <xdr:cNvSpPr txBox="1"/>
      </xdr:nvSpPr>
      <xdr:spPr>
        <a:xfrm>
          <a:off x="150817" y="2758461"/>
          <a:ext cx="1358740" cy="835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49738CC-C83D-45FF-9AFC-64795A2BFEED}" type="TxLink">
            <a:rPr lang="en-US" sz="1800" b="0" i="0" u="none" strike="noStrike">
              <a:gradFill>
                <a:gsLst>
                  <a:gs pos="0">
                    <a:schemeClr val="bg1"/>
                  </a:gs>
                  <a:gs pos="10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lgn="ctr"/>
            <a:t>4.0</a:t>
          </a:fld>
          <a:endParaRPr lang="en-IN" sz="1800" b="0" i="0" u="none" strike="noStrike">
            <a:gradFill>
              <a:gsLst>
                <a:gs pos="0">
                  <a:schemeClr val="bg1"/>
                </a:gs>
                <a:gs pos="10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150817</xdr:colOff>
      <xdr:row>18</xdr:row>
      <xdr:rowOff>7960</xdr:rowOff>
    </xdr:from>
    <xdr:to>
      <xdr:col>1</xdr:col>
      <xdr:colOff>1282094</xdr:colOff>
      <xdr:row>22</xdr:row>
      <xdr:rowOff>115329</xdr:rowOff>
    </xdr:to>
    <xdr:sp macro="" textlink="pivots!K4">
      <xdr:nvSpPr>
        <xdr:cNvPr id="10" name="TextBox 9">
          <a:extLst>
            <a:ext uri="{FF2B5EF4-FFF2-40B4-BE49-F238E27FC236}">
              <a16:creationId xmlns:a16="http://schemas.microsoft.com/office/drawing/2014/main" id="{EABBD965-EF9E-44DC-9626-02315B7CDEB6}"/>
            </a:ext>
          </a:extLst>
        </xdr:cNvPr>
        <xdr:cNvSpPr txBox="1"/>
      </xdr:nvSpPr>
      <xdr:spPr>
        <a:xfrm>
          <a:off x="150817" y="3283423"/>
          <a:ext cx="1358740" cy="835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FF0A1E4-306E-4F7D-B89A-6897DBC31EA5}" type="TxLink">
            <a:rPr lang="en-US" sz="1800" b="0" i="0" u="none" strike="noStrike">
              <a:gradFill>
                <a:gsLst>
                  <a:gs pos="0">
                    <a:schemeClr val="bg1"/>
                  </a:gs>
                  <a:gs pos="10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lgn="ctr"/>
            <a:t>2.3</a:t>
          </a:fld>
          <a:endParaRPr lang="en-IN" sz="1800" b="0" i="0" u="none" strike="noStrike">
            <a:gradFill>
              <a:gsLst>
                <a:gs pos="0">
                  <a:schemeClr val="bg1"/>
                </a:gs>
                <a:gs pos="10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1</xdr:col>
      <xdr:colOff>147386</xdr:colOff>
      <xdr:row>3</xdr:row>
      <xdr:rowOff>41563</xdr:rowOff>
    </xdr:from>
    <xdr:to>
      <xdr:col>1</xdr:col>
      <xdr:colOff>1046795</xdr:colOff>
      <xdr:row>4</xdr:row>
      <xdr:rowOff>152399</xdr:rowOff>
    </xdr:to>
    <xdr:sp macro="" textlink="">
      <xdr:nvSpPr>
        <xdr:cNvPr id="11" name="TextBox 10">
          <a:extLst>
            <a:ext uri="{FF2B5EF4-FFF2-40B4-BE49-F238E27FC236}">
              <a16:creationId xmlns:a16="http://schemas.microsoft.com/office/drawing/2014/main" id="{BB29543E-B8FF-EC9B-8FDB-0C816D72F93A}"/>
            </a:ext>
          </a:extLst>
        </xdr:cNvPr>
        <xdr:cNvSpPr txBox="1"/>
      </xdr:nvSpPr>
      <xdr:spPr>
        <a:xfrm>
          <a:off x="374849" y="587473"/>
          <a:ext cx="899409" cy="292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a:t>
          </a:r>
          <a:r>
            <a:rPr lang="en-US" sz="1600">
              <a:solidFill>
                <a:schemeClr val="bg1"/>
              </a:solidFill>
            </a:rPr>
            <a:t>order</a:t>
          </a:r>
          <a:endParaRPr lang="en-IN" sz="1600">
            <a:solidFill>
              <a:schemeClr val="bg1"/>
            </a:solidFill>
          </a:endParaRPr>
        </a:p>
      </xdr:txBody>
    </xdr:sp>
    <xdr:clientData/>
  </xdr:twoCellAnchor>
  <xdr:twoCellAnchor>
    <xdr:from>
      <xdr:col>0</xdr:col>
      <xdr:colOff>170701</xdr:colOff>
      <xdr:row>6</xdr:row>
      <xdr:rowOff>116146</xdr:rowOff>
    </xdr:from>
    <xdr:to>
      <xdr:col>1</xdr:col>
      <xdr:colOff>1307910</xdr:colOff>
      <xdr:row>8</xdr:row>
      <xdr:rowOff>34119</xdr:rowOff>
    </xdr:to>
    <xdr:sp macro="" textlink="">
      <xdr:nvSpPr>
        <xdr:cNvPr id="20" name="TextBox 19">
          <a:extLst>
            <a:ext uri="{FF2B5EF4-FFF2-40B4-BE49-F238E27FC236}">
              <a16:creationId xmlns:a16="http://schemas.microsoft.com/office/drawing/2014/main" id="{00B95F54-2DBC-798D-F40A-F4386A205A10}"/>
            </a:ext>
          </a:extLst>
        </xdr:cNvPr>
        <xdr:cNvSpPr txBox="1"/>
      </xdr:nvSpPr>
      <xdr:spPr>
        <a:xfrm>
          <a:off x="170701" y="1207967"/>
          <a:ext cx="1364672" cy="281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a:t>
          </a:r>
          <a:r>
            <a:rPr lang="en-US" sz="1600">
              <a:solidFill>
                <a:schemeClr val="bg1"/>
              </a:solidFill>
            </a:rPr>
            <a:t>Quantity</a:t>
          </a:r>
          <a:r>
            <a:rPr lang="en-US" sz="1600"/>
            <a:t> </a:t>
          </a:r>
          <a:endParaRPr lang="en-IN" sz="1600"/>
        </a:p>
      </xdr:txBody>
    </xdr:sp>
    <xdr:clientData/>
  </xdr:twoCellAnchor>
  <xdr:twoCellAnchor>
    <xdr:from>
      <xdr:col>0</xdr:col>
      <xdr:colOff>209783</xdr:colOff>
      <xdr:row>10</xdr:row>
      <xdr:rowOff>26443</xdr:rowOff>
    </xdr:from>
    <xdr:to>
      <xdr:col>1</xdr:col>
      <xdr:colOff>1189113</xdr:colOff>
      <xdr:row>11</xdr:row>
      <xdr:rowOff>181969</xdr:rowOff>
    </xdr:to>
    <xdr:sp macro="" textlink="">
      <xdr:nvSpPr>
        <xdr:cNvPr id="21" name="TextBox 20">
          <a:extLst>
            <a:ext uri="{FF2B5EF4-FFF2-40B4-BE49-F238E27FC236}">
              <a16:creationId xmlns:a16="http://schemas.microsoft.com/office/drawing/2014/main" id="{0484A036-77C2-3206-88D7-545D05C80F84}"/>
            </a:ext>
          </a:extLst>
        </xdr:cNvPr>
        <xdr:cNvSpPr txBox="1"/>
      </xdr:nvSpPr>
      <xdr:spPr>
        <a:xfrm>
          <a:off x="209783" y="1846144"/>
          <a:ext cx="1206793" cy="337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a:t>
          </a:r>
          <a:r>
            <a:rPr lang="en-US" sz="1600">
              <a:solidFill>
                <a:schemeClr val="bg1"/>
              </a:solidFill>
            </a:rPr>
            <a:t>Amount</a:t>
          </a:r>
          <a:endParaRPr lang="en-IN" sz="1600">
            <a:solidFill>
              <a:schemeClr val="bg1"/>
            </a:solidFill>
          </a:endParaRPr>
        </a:p>
      </xdr:txBody>
    </xdr:sp>
    <xdr:clientData/>
  </xdr:twoCellAnchor>
  <xdr:twoCellAnchor>
    <xdr:from>
      <xdr:col>0</xdr:col>
      <xdr:colOff>81448</xdr:colOff>
      <xdr:row>13</xdr:row>
      <xdr:rowOff>88621</xdr:rowOff>
    </xdr:from>
    <xdr:to>
      <xdr:col>1</xdr:col>
      <xdr:colOff>1271957</xdr:colOff>
      <xdr:row>15</xdr:row>
      <xdr:rowOff>22747</xdr:rowOff>
    </xdr:to>
    <xdr:sp macro="" textlink="">
      <xdr:nvSpPr>
        <xdr:cNvPr id="25" name="TextBox 24">
          <a:extLst>
            <a:ext uri="{FF2B5EF4-FFF2-40B4-BE49-F238E27FC236}">
              <a16:creationId xmlns:a16="http://schemas.microsoft.com/office/drawing/2014/main" id="{53A5054F-312A-2B9F-0BA4-1815BFF3298C}"/>
            </a:ext>
          </a:extLst>
        </xdr:cNvPr>
        <xdr:cNvSpPr txBox="1"/>
      </xdr:nvSpPr>
      <xdr:spPr>
        <a:xfrm>
          <a:off x="81448" y="2454233"/>
          <a:ext cx="1417972" cy="298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a:t>
          </a:r>
          <a:r>
            <a:rPr lang="en-US" sz="1600">
              <a:solidFill>
                <a:schemeClr val="bg1"/>
              </a:solidFill>
            </a:rPr>
            <a:t>Avg</a:t>
          </a:r>
          <a:r>
            <a:rPr lang="en-US" sz="1600"/>
            <a:t> </a:t>
          </a:r>
          <a:r>
            <a:rPr lang="en-US" sz="1600">
              <a:solidFill>
                <a:schemeClr val="bg1"/>
              </a:solidFill>
            </a:rPr>
            <a:t>Rating</a:t>
          </a:r>
          <a:endParaRPr lang="en-IN" sz="1600">
            <a:solidFill>
              <a:schemeClr val="bg1"/>
            </a:solidFill>
          </a:endParaRPr>
        </a:p>
      </xdr:txBody>
    </xdr:sp>
    <xdr:clientData/>
  </xdr:twoCellAnchor>
  <xdr:twoCellAnchor>
    <xdr:from>
      <xdr:col>0</xdr:col>
      <xdr:colOff>0</xdr:colOff>
      <xdr:row>16</xdr:row>
      <xdr:rowOff>96830</xdr:rowOff>
    </xdr:from>
    <xdr:to>
      <xdr:col>2</xdr:col>
      <xdr:colOff>216089</xdr:colOff>
      <xdr:row>18</xdr:row>
      <xdr:rowOff>102358</xdr:rowOff>
    </xdr:to>
    <xdr:sp macro="" textlink="">
      <xdr:nvSpPr>
        <xdr:cNvPr id="26" name="TextBox 25">
          <a:extLst>
            <a:ext uri="{FF2B5EF4-FFF2-40B4-BE49-F238E27FC236}">
              <a16:creationId xmlns:a16="http://schemas.microsoft.com/office/drawing/2014/main" id="{B95909FD-DFE9-EC80-9C68-FFADE6C9F064}"/>
            </a:ext>
          </a:extLst>
        </xdr:cNvPr>
        <xdr:cNvSpPr txBox="1"/>
      </xdr:nvSpPr>
      <xdr:spPr>
        <a:xfrm>
          <a:off x="0" y="3008352"/>
          <a:ext cx="1967552" cy="369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 </a:t>
          </a:r>
          <a:r>
            <a:rPr lang="en-US" sz="1600">
              <a:solidFill>
                <a:schemeClr val="bg1"/>
              </a:solidFill>
            </a:rPr>
            <a:t>Days</a:t>
          </a:r>
          <a:r>
            <a:rPr lang="en-US" sz="1600"/>
            <a:t> </a:t>
          </a:r>
          <a:r>
            <a:rPr lang="en-US" sz="1600">
              <a:solidFill>
                <a:schemeClr val="bg1"/>
              </a:solidFill>
            </a:rPr>
            <a:t>to</a:t>
          </a:r>
          <a:r>
            <a:rPr lang="en-US" sz="1600"/>
            <a:t> </a:t>
          </a:r>
          <a:r>
            <a:rPr lang="en-US" sz="1600">
              <a:solidFill>
                <a:schemeClr val="bg1"/>
              </a:solidFill>
            </a:rPr>
            <a:t>Delivery</a:t>
          </a:r>
          <a:r>
            <a:rPr lang="en-US" sz="1600"/>
            <a:t> </a:t>
          </a:r>
          <a:endParaRPr lang="en-IN" sz="1600"/>
        </a:p>
      </xdr:txBody>
    </xdr:sp>
    <xdr:clientData/>
  </xdr:twoCellAnchor>
  <xdr:twoCellAnchor>
    <xdr:from>
      <xdr:col>11</xdr:col>
      <xdr:colOff>169333</xdr:colOff>
      <xdr:row>1</xdr:row>
      <xdr:rowOff>110067</xdr:rowOff>
    </xdr:from>
    <xdr:to>
      <xdr:col>19</xdr:col>
      <xdr:colOff>76200</xdr:colOff>
      <xdr:row>16</xdr:row>
      <xdr:rowOff>8467</xdr:rowOff>
    </xdr:to>
    <xdr:sp macro="" textlink="">
      <xdr:nvSpPr>
        <xdr:cNvPr id="35" name="Rectangle 34">
          <a:extLst>
            <a:ext uri="{FF2B5EF4-FFF2-40B4-BE49-F238E27FC236}">
              <a16:creationId xmlns:a16="http://schemas.microsoft.com/office/drawing/2014/main" id="{7FDFF9D5-034C-99B1-86B2-3636297BF703}"/>
            </a:ext>
          </a:extLst>
        </xdr:cNvPr>
        <xdr:cNvSpPr/>
      </xdr:nvSpPr>
      <xdr:spPr>
        <a:xfrm>
          <a:off x="6646333" y="296334"/>
          <a:ext cx="4783667" cy="26924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11723</xdr:colOff>
      <xdr:row>1</xdr:row>
      <xdr:rowOff>81588</xdr:rowOff>
    </xdr:from>
    <xdr:to>
      <xdr:col>11</xdr:col>
      <xdr:colOff>0</xdr:colOff>
      <xdr:row>15</xdr:row>
      <xdr:rowOff>177800</xdr:rowOff>
    </xdr:to>
    <xdr:graphicFrame macro="">
      <xdr:nvGraphicFramePr>
        <xdr:cNvPr id="27" name="Chart 26">
          <a:extLst>
            <a:ext uri="{FF2B5EF4-FFF2-40B4-BE49-F238E27FC236}">
              <a16:creationId xmlns:a16="http://schemas.microsoft.com/office/drawing/2014/main" id="{0C8212B2-D32E-4F9E-AF50-1CE83D379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364595</xdr:colOff>
          <xdr:row>4</xdr:row>
          <xdr:rowOff>3150</xdr:rowOff>
        </xdr:from>
        <xdr:to>
          <xdr:col>18</xdr:col>
          <xdr:colOff>466195</xdr:colOff>
          <xdr:row>14</xdr:row>
          <xdr:rowOff>121181</xdr:rowOff>
        </xdr:to>
        <xdr:pic>
          <xdr:nvPicPr>
            <xdr:cNvPr id="34" name="Picture 33">
              <a:extLst>
                <a:ext uri="{FF2B5EF4-FFF2-40B4-BE49-F238E27FC236}">
                  <a16:creationId xmlns:a16="http://schemas.microsoft.com/office/drawing/2014/main" id="{7F4E9DED-A160-33CD-1DB2-AC1CE9B1A931}"/>
                </a:ext>
              </a:extLst>
            </xdr:cNvPr>
            <xdr:cNvPicPr>
              <a:picLocks noChangeAspect="1" noChangeArrowheads="1"/>
              <a:extLst>
                <a:ext uri="{84589F7E-364E-4C9E-8A38-B11213B215E9}">
                  <a14:cameraTool cellRange="Sheet2!$H$4:$L$9" spid="_x0000_s1052"/>
                </a:ext>
              </a:extLst>
            </xdr:cNvPicPr>
          </xdr:nvPicPr>
          <xdr:blipFill>
            <a:blip xmlns:r="http://schemas.openxmlformats.org/officeDocument/2006/relationships" r:embed="rId2"/>
            <a:srcRect/>
            <a:stretch>
              <a:fillRect/>
            </a:stretch>
          </xdr:blipFill>
          <xdr:spPr bwMode="auto">
            <a:xfrm>
              <a:off x="6857470" y="733400"/>
              <a:ext cx="4379913" cy="194365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203200</xdr:colOff>
      <xdr:row>1</xdr:row>
      <xdr:rowOff>67734</xdr:rowOff>
    </xdr:from>
    <xdr:to>
      <xdr:col>24</xdr:col>
      <xdr:colOff>601133</xdr:colOff>
      <xdr:row>16</xdr:row>
      <xdr:rowOff>16934</xdr:rowOff>
    </xdr:to>
    <xdr:graphicFrame macro="">
      <xdr:nvGraphicFramePr>
        <xdr:cNvPr id="36" name="Chart 35">
          <a:extLst>
            <a:ext uri="{FF2B5EF4-FFF2-40B4-BE49-F238E27FC236}">
              <a16:creationId xmlns:a16="http://schemas.microsoft.com/office/drawing/2014/main" id="{38BBCD89-F7D4-41CA-B2E3-821A67F09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207434</xdr:colOff>
      <xdr:row>17</xdr:row>
      <xdr:rowOff>8468</xdr:rowOff>
    </xdr:from>
    <xdr:to>
      <xdr:col>10</xdr:col>
      <xdr:colOff>605366</xdr:colOff>
      <xdr:row>40</xdr:row>
      <xdr:rowOff>50800</xdr:rowOff>
    </xdr:to>
    <xdr:graphicFrame macro="">
      <xdr:nvGraphicFramePr>
        <xdr:cNvPr id="37" name="Chart 36">
          <a:extLst>
            <a:ext uri="{FF2B5EF4-FFF2-40B4-BE49-F238E27FC236}">
              <a16:creationId xmlns:a16="http://schemas.microsoft.com/office/drawing/2014/main" id="{F29CB097-116F-4093-951B-8D8EAE39C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533400</xdr:colOff>
      <xdr:row>30</xdr:row>
      <xdr:rowOff>42332</xdr:rowOff>
    </xdr:from>
    <xdr:to>
      <xdr:col>8</xdr:col>
      <xdr:colOff>601133</xdr:colOff>
      <xdr:row>39</xdr:row>
      <xdr:rowOff>127000</xdr:rowOff>
    </xdr:to>
    <xdr:graphicFrame macro="">
      <xdr:nvGraphicFramePr>
        <xdr:cNvPr id="38" name="Chart 37">
          <a:extLst>
            <a:ext uri="{FF2B5EF4-FFF2-40B4-BE49-F238E27FC236}">
              <a16:creationId xmlns:a16="http://schemas.microsoft.com/office/drawing/2014/main" id="{8D814954-2543-4CDE-9D6B-497760D0E1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203200</xdr:colOff>
      <xdr:row>16</xdr:row>
      <xdr:rowOff>169333</xdr:rowOff>
    </xdr:from>
    <xdr:to>
      <xdr:col>18</xdr:col>
      <xdr:colOff>508000</xdr:colOff>
      <xdr:row>40</xdr:row>
      <xdr:rowOff>67732</xdr:rowOff>
    </xdr:to>
    <mc:AlternateContent xmlns:mc="http://schemas.openxmlformats.org/markup-compatibility/2006">
      <mc:Choice xmlns:cx4="http://schemas.microsoft.com/office/drawing/2016/5/10/chartex" Requires="cx4">
        <xdr:graphicFrame macro="">
          <xdr:nvGraphicFramePr>
            <xdr:cNvPr id="39" name="Chart 38">
              <a:extLst>
                <a:ext uri="{FF2B5EF4-FFF2-40B4-BE49-F238E27FC236}">
                  <a16:creationId xmlns:a16="http://schemas.microsoft.com/office/drawing/2014/main" id="{A2EB8D2A-74B9-422A-BB0C-3020D62309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680200" y="3095413"/>
              <a:ext cx="4572000" cy="428751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165100</xdr:colOff>
      <xdr:row>21</xdr:row>
      <xdr:rowOff>105832</xdr:rowOff>
    </xdr:from>
    <xdr:to>
      <xdr:col>18</xdr:col>
      <xdr:colOff>317500</xdr:colOff>
      <xdr:row>31</xdr:row>
      <xdr:rowOff>63500</xdr:rowOff>
    </xdr:to>
    <mc:AlternateContent xmlns:mc="http://schemas.openxmlformats.org/markup-compatibility/2006">
      <mc:Choice xmlns:cx4="http://schemas.microsoft.com/office/drawing/2016/5/10/chartex" Requires="cx4">
        <xdr:graphicFrame macro="">
          <xdr:nvGraphicFramePr>
            <xdr:cNvPr id="40" name="Chart 39">
              <a:extLst>
                <a:ext uri="{FF2B5EF4-FFF2-40B4-BE49-F238E27FC236}">
                  <a16:creationId xmlns:a16="http://schemas.microsoft.com/office/drawing/2014/main" id="{CAF8BF3A-2D9E-42B6-9656-9DDB39169C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690100" y="3946312"/>
              <a:ext cx="1371600" cy="178646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55033</xdr:colOff>
      <xdr:row>17</xdr:row>
      <xdr:rowOff>4234</xdr:rowOff>
    </xdr:from>
    <xdr:to>
      <xdr:col>25</xdr:col>
      <xdr:colOff>46567</xdr:colOff>
      <xdr:row>27</xdr:row>
      <xdr:rowOff>173566</xdr:rowOff>
    </xdr:to>
    <xdr:graphicFrame macro="">
      <xdr:nvGraphicFramePr>
        <xdr:cNvPr id="41" name="Chart 40">
          <a:extLst>
            <a:ext uri="{FF2B5EF4-FFF2-40B4-BE49-F238E27FC236}">
              <a16:creationId xmlns:a16="http://schemas.microsoft.com/office/drawing/2014/main" id="{2719735D-5975-4C07-8213-F1FD7FA78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63499</xdr:colOff>
      <xdr:row>28</xdr:row>
      <xdr:rowOff>80432</xdr:rowOff>
    </xdr:from>
    <xdr:to>
      <xdr:col>25</xdr:col>
      <xdr:colOff>76200</xdr:colOff>
      <xdr:row>40</xdr:row>
      <xdr:rowOff>114300</xdr:rowOff>
    </xdr:to>
    <xdr:graphicFrame macro="">
      <xdr:nvGraphicFramePr>
        <xdr:cNvPr id="42" name="Chart 41">
          <a:extLst>
            <a:ext uri="{FF2B5EF4-FFF2-40B4-BE49-F238E27FC236}">
              <a16:creationId xmlns:a16="http://schemas.microsoft.com/office/drawing/2014/main" id="{D5BD7C22-BE6E-47ED-A3D5-AECAE2527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101600</xdr:colOff>
      <xdr:row>20</xdr:row>
      <xdr:rowOff>127001</xdr:rowOff>
    </xdr:from>
    <xdr:to>
      <xdr:col>2</xdr:col>
      <xdr:colOff>0</xdr:colOff>
      <xdr:row>31</xdr:row>
      <xdr:rowOff>63500</xdr:rowOff>
    </xdr:to>
    <mc:AlternateContent xmlns:mc="http://schemas.openxmlformats.org/markup-compatibility/2006" xmlns:a14="http://schemas.microsoft.com/office/drawing/2010/main">
      <mc:Choice Requires="a14">
        <xdr:graphicFrame macro="">
          <xdr:nvGraphicFramePr>
            <xdr:cNvPr id="43" name="Order Mode">
              <a:extLst>
                <a:ext uri="{FF2B5EF4-FFF2-40B4-BE49-F238E27FC236}">
                  <a16:creationId xmlns:a16="http://schemas.microsoft.com/office/drawing/2014/main" id="{F17FF9D8-5880-4C56-A67F-DF07B5AB108F}"/>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01600" y="3766404"/>
              <a:ext cx="1649863" cy="1938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78740</xdr:colOff>
      <xdr:row>32</xdr:row>
      <xdr:rowOff>63501</xdr:rowOff>
    </xdr:from>
    <xdr:to>
      <xdr:col>2</xdr:col>
      <xdr:colOff>76200</xdr:colOff>
      <xdr:row>41</xdr:row>
      <xdr:rowOff>152401</xdr:rowOff>
    </xdr:to>
    <mc:AlternateContent xmlns:mc="http://schemas.openxmlformats.org/markup-compatibility/2006" xmlns:a14="http://schemas.microsoft.com/office/drawing/2010/main">
      <mc:Choice Requires="a14">
        <xdr:graphicFrame macro="">
          <xdr:nvGraphicFramePr>
            <xdr:cNvPr id="44" name="Gender Value">
              <a:extLst>
                <a:ext uri="{FF2B5EF4-FFF2-40B4-BE49-F238E27FC236}">
                  <a16:creationId xmlns:a16="http://schemas.microsoft.com/office/drawing/2014/main" id="{1C3DFBB9-E990-410E-9217-E3374D162CA9}"/>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78740" y="5886546"/>
              <a:ext cx="1748923" cy="1726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587375</xdr:colOff>
      <xdr:row>2</xdr:row>
      <xdr:rowOff>71438</xdr:rowOff>
    </xdr:from>
    <xdr:to>
      <xdr:col>18</xdr:col>
      <xdr:colOff>222250</xdr:colOff>
      <xdr:row>3</xdr:row>
      <xdr:rowOff>134937</xdr:rowOff>
    </xdr:to>
    <xdr:sp macro="" textlink="">
      <xdr:nvSpPr>
        <xdr:cNvPr id="45" name="TextBox 44">
          <a:extLst>
            <a:ext uri="{FF2B5EF4-FFF2-40B4-BE49-F238E27FC236}">
              <a16:creationId xmlns:a16="http://schemas.microsoft.com/office/drawing/2014/main" id="{35A647CA-3ADC-6F4D-C617-595AFDDD655C}"/>
            </a:ext>
          </a:extLst>
        </xdr:cNvPr>
        <xdr:cNvSpPr txBox="1"/>
      </xdr:nvSpPr>
      <xdr:spPr>
        <a:xfrm>
          <a:off x="7080250" y="436563"/>
          <a:ext cx="3913188" cy="2460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How they like to buy ?</a:t>
          </a:r>
        </a:p>
      </xdr:txBody>
    </xdr:sp>
    <xdr:clientData/>
  </xdr:twoCellAnchor>
  <xdr:twoCellAnchor>
    <xdr:from>
      <xdr:col>0</xdr:col>
      <xdr:colOff>0</xdr:colOff>
      <xdr:row>0</xdr:row>
      <xdr:rowOff>22746</xdr:rowOff>
    </xdr:from>
    <xdr:to>
      <xdr:col>3</xdr:col>
      <xdr:colOff>125105</xdr:colOff>
      <xdr:row>2</xdr:row>
      <xdr:rowOff>68239</xdr:rowOff>
    </xdr:to>
    <xdr:sp macro="" textlink="">
      <xdr:nvSpPr>
        <xdr:cNvPr id="6" name="TextBox 5">
          <a:extLst>
            <a:ext uri="{FF2B5EF4-FFF2-40B4-BE49-F238E27FC236}">
              <a16:creationId xmlns:a16="http://schemas.microsoft.com/office/drawing/2014/main" id="{708AB73D-D6EB-A8CC-7A90-AA21DCCE4D38}"/>
            </a:ext>
          </a:extLst>
        </xdr:cNvPr>
        <xdr:cNvSpPr txBox="1"/>
      </xdr:nvSpPr>
      <xdr:spPr>
        <a:xfrm>
          <a:off x="0" y="22746"/>
          <a:ext cx="2104030" cy="409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800" b="1" cap="none" spc="0">
              <a:ln w="6600">
                <a:solidFill>
                  <a:schemeClr val="accent2"/>
                </a:solidFill>
                <a:prstDash val="solid"/>
              </a:ln>
              <a:solidFill>
                <a:srgbClr val="FFFFFF"/>
              </a:solidFill>
              <a:effectLst>
                <a:outerShdw dist="38100" dir="2700000" algn="tl" rotWithShape="0">
                  <a:schemeClr val="accent2"/>
                </a:outerShdw>
              </a:effectLst>
            </a:rPr>
            <a:t>DASHBOARD</a:t>
          </a:r>
          <a:r>
            <a:rPr lang="en-US" sz="2400"/>
            <a:t> </a:t>
          </a:r>
          <a:endParaRPr lang="en-IN" sz="2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 Mounika" refreshedDate="46060.445453356479" createdVersion="8" refreshedVersion="8" minRefreshableVersion="3" recordCount="2400" xr:uid="{DE93EDB5-7B53-4FC8-BAA5-81487C90C1E2}">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4975170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6E5030-C27D-4DD5-9B0E-B2A7BA53B4F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9:A40" firstHeaderRow="1" firstDataRow="1" firstDataCol="0"/>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TX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19B95F-0568-40AF-B42E-07333E530AC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9:B25"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10" format="6"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E8801D-8899-4EEF-8C69-9AC33813D5F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9F58A9-B92B-45DE-B881-C77D6F4A9C3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F1166F-54B6-4352-AF21-3CBAB34F216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e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575991-7664-4DF1-A881-79BCAB8BE98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J4:K9"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3">
    <chartFormat chart="8" format="0" series="1">
      <pivotArea type="data" outline="0" fieldPosition="0">
        <references count="2">
          <reference field="4294967294" count="1" selected="0">
            <x v="0"/>
          </reference>
          <reference field="14" count="1" selected="0">
            <x v="0"/>
          </reference>
        </references>
      </pivotArea>
    </chartFormat>
    <chartFormat chart="8" format="1" series="1">
      <pivotArea type="data" outline="0" fieldPosition="0">
        <references count="2">
          <reference field="4294967294" count="1" selected="0">
            <x v="0"/>
          </reference>
          <reference field="14" count="1" selected="0">
            <x v="1"/>
          </reference>
        </references>
      </pivotArea>
    </chartFormat>
    <chartFormat chart="8" format="2" series="1">
      <pivotArea type="data" outline="0" fieldPosition="0">
        <references count="2">
          <reference field="4294967294" count="1" selected="0">
            <x v="0"/>
          </reference>
          <reference field="14" count="1" selected="0">
            <x v="2"/>
          </reference>
        </references>
      </pivotArea>
    </chartFormat>
    <chartFormat chart="8" format="3" series="1">
      <pivotArea type="data" outline="0" fieldPosition="0">
        <references count="2">
          <reference field="4294967294" count="1" selected="0">
            <x v="0"/>
          </reference>
          <reference field="14" count="1" selected="0">
            <x v="3"/>
          </reference>
        </references>
      </pivotArea>
    </chartFormat>
    <chartFormat chart="10" format="8" series="1">
      <pivotArea type="data" outline="0" fieldPosition="0">
        <references count="2">
          <reference field="4294967294" count="1" selected="0">
            <x v="0"/>
          </reference>
          <reference field="14" count="1" selected="0">
            <x v="0"/>
          </reference>
        </references>
      </pivotArea>
    </chartFormat>
    <chartFormat chart="10" format="9" series="1">
      <pivotArea type="data" outline="0" fieldPosition="0">
        <references count="2">
          <reference field="4294967294" count="1" selected="0">
            <x v="0"/>
          </reference>
          <reference field="14" count="1" selected="0">
            <x v="1"/>
          </reference>
        </references>
      </pivotArea>
    </chartFormat>
    <chartFormat chart="10" format="10" series="1">
      <pivotArea type="data" outline="0" fieldPosition="0">
        <references count="2">
          <reference field="4294967294" count="1" selected="0">
            <x v="0"/>
          </reference>
          <reference field="14" count="1" selected="0">
            <x v="2"/>
          </reference>
        </references>
      </pivotArea>
    </chartFormat>
    <chartFormat chart="10" format="11" series="1">
      <pivotArea type="data" outline="0" fieldPosition="0">
        <references count="2">
          <reference field="4294967294" count="1" selected="0">
            <x v="0"/>
          </reference>
          <reference field="14" count="1" selected="0">
            <x v="3"/>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14" count="1" selected="0">
            <x v="0"/>
          </reference>
        </references>
      </pivotArea>
    </chartFormat>
    <chartFormat chart="19" format="8">
      <pivotArea type="data" outline="0" fieldPosition="0">
        <references count="2">
          <reference field="4294967294" count="1" selected="0">
            <x v="0"/>
          </reference>
          <reference field="14" count="1" selected="0">
            <x v="1"/>
          </reference>
        </references>
      </pivotArea>
    </chartFormat>
    <chartFormat chart="19" format="9">
      <pivotArea type="data" outline="0" fieldPosition="0">
        <references count="2">
          <reference field="4294967294" count="1" selected="0">
            <x v="0"/>
          </reference>
          <reference field="14" count="1" selected="0">
            <x v="2"/>
          </reference>
        </references>
      </pivotArea>
    </chartFormat>
    <chartFormat chart="19"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36F1B9-3C69-4D8A-A46B-459859E594D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10" format="8" series="1">
      <pivotArea type="data" outline="0" fieldPosition="0">
        <references count="2">
          <reference field="4294967294" count="1" selected="0">
            <x v="0"/>
          </reference>
          <reference field="14" count="1" selected="0">
            <x v="0"/>
          </reference>
        </references>
      </pivotArea>
    </chartFormat>
    <chartFormat chart="10" format="9" series="1">
      <pivotArea type="data" outline="0" fieldPosition="0">
        <references count="2">
          <reference field="4294967294" count="1" selected="0">
            <x v="0"/>
          </reference>
          <reference field="14" count="1" selected="0">
            <x v="1"/>
          </reference>
        </references>
      </pivotArea>
    </chartFormat>
    <chartFormat chart="10" format="10" series="1">
      <pivotArea type="data" outline="0" fieldPosition="0">
        <references count="2">
          <reference field="4294967294" count="1" selected="0">
            <x v="0"/>
          </reference>
          <reference field="14" count="1" selected="0">
            <x v="2"/>
          </reference>
        </references>
      </pivotArea>
    </chartFormat>
    <chartFormat chart="10"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CCEA1C-7351-4376-876B-1EB7E296C07F}"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K3:M61" firstHeaderRow="1"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67A92E-7084-4BEB-B3B2-55012211560E}"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G3:I61" firstHeaderRow="1"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Items count="1">
    <i/>
  </colItems>
  <dataFields count="1">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571EBE-1477-4855-8E9F-F674312A1DA0}"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5E9AA4-14BA-4DC2-B739-FA72D0C1ED0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G8" firstHeaderRow="1" firstDataRow="2" firstDataCol="1"/>
  <pivotFields count="18">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3" format="13" series="1">
      <pivotArea type="data" outline="0" fieldPosition="0">
        <references count="2">
          <reference field="4294967294" count="1" selected="0">
            <x v="0"/>
          </reference>
          <reference field="9" count="1" selected="0">
            <x v="0"/>
          </reference>
        </references>
      </pivotArea>
    </chartFormat>
    <chartFormat chart="3" format="14" series="1">
      <pivotArea type="data" outline="0" fieldPosition="0">
        <references count="2">
          <reference field="4294967294" count="1" selected="0">
            <x v="0"/>
          </reference>
          <reference field="9" count="1" selected="0">
            <x v="1"/>
          </reference>
        </references>
      </pivotArea>
    </chartFormat>
    <chartFormat chart="3" format="15" series="1">
      <pivotArea type="data" outline="0" fieldPosition="0">
        <references count="2">
          <reference field="4294967294" count="1" selected="0">
            <x v="0"/>
          </reference>
          <reference field="9" count="1" selected="0">
            <x v="2"/>
          </reference>
        </references>
      </pivotArea>
    </chartFormat>
    <chartFormat chart="3" format="16" series="1">
      <pivotArea type="data" outline="0" fieldPosition="0">
        <references count="2">
          <reference field="4294967294" count="1" selected="0">
            <x v="0"/>
          </reference>
          <reference field="9" count="1" selected="0">
            <x v="3"/>
          </reference>
        </references>
      </pivotArea>
    </chartFormat>
    <chartFormat chart="3"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5524905E-07AC-4381-BCC5-4A6ABC8C1CE5}" sourceName="Order Mode">
  <pivotTables>
    <pivotTable tabId="5" name="PivotTable2"/>
    <pivotTable tabId="5" name="PivotTable13"/>
    <pivotTable tabId="7" name="PivotTable6"/>
    <pivotTable tabId="8" name="PivotTable8"/>
    <pivotTable tabId="8" name="PivotTable9"/>
    <pivotTable tabId="9" name="PivotTable10"/>
    <pivotTable tabId="9" name="PivotTable11"/>
    <pivotTable tabId="9" name="PivotTable12"/>
    <pivotTable tabId="10" name="PivotTable15"/>
  </pivotTables>
  <data>
    <tabular pivotCacheId="497517061">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18C05617-6681-4616-83EA-5D03BF806502}" sourceName="Gender Value">
  <pivotTables>
    <pivotTable tabId="5" name="PivotTable2"/>
    <pivotTable tabId="5" name="PivotTable13"/>
    <pivotTable tabId="7" name="PivotTable6"/>
    <pivotTable tabId="9" name="PivotTable10"/>
    <pivotTable tabId="9" name="PivotTable11"/>
    <pivotTable tabId="9" name="PivotTable12"/>
    <pivotTable tabId="10" name="PivotTable15"/>
  </pivotTables>
  <data>
    <tabular pivotCacheId="497517061">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4941076B-174B-4DF7-BAF9-5D69AFB7B0D3}" cache="Slicer_Order_Mode" caption="Order Mode" rowHeight="247650"/>
  <slicer name="Gender Value" xr10:uid="{532C219E-E683-4810-BADB-964DE099F92A}"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C948B-CA08-4675-9371-BB723E5F276D}">
  <dimension ref="A2:K40"/>
  <sheetViews>
    <sheetView workbookViewId="0">
      <selection activeCell="A3" sqref="A3"/>
    </sheetView>
  </sheetViews>
  <sheetFormatPr defaultRowHeight="14.4" x14ac:dyDescent="0.3"/>
  <cols>
    <col min="1" max="2" width="12.21875" bestFit="1" customWidth="1"/>
    <col min="3" max="3" width="13.5546875" bestFit="1" customWidth="1"/>
    <col min="4" max="4" width="16.6640625" bestFit="1" customWidth="1"/>
    <col min="5" max="5" width="22.33203125" bestFit="1" customWidth="1"/>
  </cols>
  <sheetData>
    <row r="2" spans="1:11" x14ac:dyDescent="0.3">
      <c r="G2" t="s">
        <v>2509</v>
      </c>
    </row>
    <row r="3" spans="1:11" x14ac:dyDescent="0.3">
      <c r="A3" t="s">
        <v>2504</v>
      </c>
      <c r="B3" t="s">
        <v>2505</v>
      </c>
      <c r="C3" t="s">
        <v>2506</v>
      </c>
      <c r="D3" t="s">
        <v>2507</v>
      </c>
      <c r="E3" t="s">
        <v>2508</v>
      </c>
      <c r="G3" t="s">
        <v>2503</v>
      </c>
      <c r="H3" t="s">
        <v>2510</v>
      </c>
      <c r="I3" t="s">
        <v>4</v>
      </c>
      <c r="J3" t="s">
        <v>2511</v>
      </c>
      <c r="K3" t="s">
        <v>2512</v>
      </c>
    </row>
    <row r="4" spans="1:11" x14ac:dyDescent="0.3">
      <c r="A4">
        <v>2400</v>
      </c>
      <c r="B4">
        <v>11997</v>
      </c>
      <c r="C4">
        <v>649019.80000000144</v>
      </c>
      <c r="D4">
        <v>3.9620833333333332</v>
      </c>
      <c r="E4">
        <v>2.3424999999999998</v>
      </c>
      <c r="G4" t="str">
        <f>TEXT(A4,"#,##")</f>
        <v>2,400</v>
      </c>
      <c r="H4" t="str">
        <f t="shared" ref="H4" si="0">TEXT(B4,"#,##")</f>
        <v>11,997</v>
      </c>
      <c r="I4" s="3" t="str">
        <f>TEXT(C4,"$#,##,.0k")</f>
        <v>$649.0k</v>
      </c>
      <c r="J4" t="str">
        <f>TEXT(D4,"0.0")</f>
        <v>4.0</v>
      </c>
      <c r="K4" t="str">
        <f>TEXT(E4,"0.0")</f>
        <v>2.3</v>
      </c>
    </row>
    <row r="9" spans="1:11" x14ac:dyDescent="0.3">
      <c r="A9" s="4" t="s">
        <v>2513</v>
      </c>
      <c r="B9" t="s">
        <v>2504</v>
      </c>
    </row>
    <row r="10" spans="1:11" x14ac:dyDescent="0.3">
      <c r="A10" s="5">
        <v>0</v>
      </c>
      <c r="B10">
        <v>175</v>
      </c>
    </row>
    <row r="11" spans="1:11" x14ac:dyDescent="0.3">
      <c r="A11" s="5">
        <v>1</v>
      </c>
      <c r="B11">
        <v>888</v>
      </c>
    </row>
    <row r="12" spans="1:11" x14ac:dyDescent="0.3">
      <c r="A12" s="5">
        <v>2</v>
      </c>
      <c r="B12">
        <v>538</v>
      </c>
    </row>
    <row r="13" spans="1:11" x14ac:dyDescent="0.3">
      <c r="A13" s="5">
        <v>3</v>
      </c>
      <c r="B13">
        <v>344</v>
      </c>
    </row>
    <row r="14" spans="1:11" x14ac:dyDescent="0.3">
      <c r="A14" s="5">
        <v>4</v>
      </c>
      <c r="B14">
        <v>200</v>
      </c>
    </row>
    <row r="15" spans="1:11" x14ac:dyDescent="0.3">
      <c r="A15" s="5">
        <v>5</v>
      </c>
      <c r="B15">
        <v>94</v>
      </c>
    </row>
    <row r="16" spans="1:11" x14ac:dyDescent="0.3">
      <c r="A16" s="5">
        <v>6</v>
      </c>
      <c r="B16">
        <v>51</v>
      </c>
    </row>
    <row r="17" spans="1:2" x14ac:dyDescent="0.3">
      <c r="A17" s="5">
        <v>7</v>
      </c>
      <c r="B17">
        <v>32</v>
      </c>
    </row>
    <row r="18" spans="1:2" x14ac:dyDescent="0.3">
      <c r="A18" s="5">
        <v>8</v>
      </c>
      <c r="B18">
        <v>23</v>
      </c>
    </row>
    <row r="19" spans="1:2" x14ac:dyDescent="0.3">
      <c r="A19" s="5">
        <v>9</v>
      </c>
      <c r="B19">
        <v>9</v>
      </c>
    </row>
    <row r="20" spans="1:2" x14ac:dyDescent="0.3">
      <c r="A20" s="5">
        <v>10</v>
      </c>
      <c r="B20">
        <v>8</v>
      </c>
    </row>
    <row r="21" spans="1:2" x14ac:dyDescent="0.3">
      <c r="A21" s="5">
        <v>11</v>
      </c>
      <c r="B21">
        <v>11</v>
      </c>
    </row>
    <row r="22" spans="1:2" x14ac:dyDescent="0.3">
      <c r="A22" s="5">
        <v>12</v>
      </c>
      <c r="B22">
        <v>4</v>
      </c>
    </row>
    <row r="23" spans="1:2" x14ac:dyDescent="0.3">
      <c r="A23" s="5">
        <v>13</v>
      </c>
      <c r="B23">
        <v>10</v>
      </c>
    </row>
    <row r="24" spans="1:2" x14ac:dyDescent="0.3">
      <c r="A24" s="5">
        <v>14</v>
      </c>
      <c r="B24">
        <v>13</v>
      </c>
    </row>
    <row r="25" spans="1:2" x14ac:dyDescent="0.3">
      <c r="A25" s="5" t="s">
        <v>2514</v>
      </c>
      <c r="B25">
        <v>2400</v>
      </c>
    </row>
    <row r="39" spans="1:1" x14ac:dyDescent="0.3">
      <c r="A39" t="s">
        <v>2504</v>
      </c>
    </row>
    <row r="40" spans="1:1" x14ac:dyDescent="0.3">
      <c r="A40">
        <v>2400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205F3-8958-44A4-94B2-5E730BEFDDC1}">
  <dimension ref="A2:L10"/>
  <sheetViews>
    <sheetView workbookViewId="0">
      <selection activeCell="F9" sqref="F9"/>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0.109375" customWidth="1"/>
  </cols>
  <sheetData>
    <row r="2" spans="1:12" x14ac:dyDescent="0.3">
      <c r="H2" t="s">
        <v>2520</v>
      </c>
    </row>
    <row r="3" spans="1:12" x14ac:dyDescent="0.3">
      <c r="A3" s="4" t="s">
        <v>2506</v>
      </c>
      <c r="B3" s="4" t="s">
        <v>2515</v>
      </c>
    </row>
    <row r="4" spans="1:12" ht="15" thickBot="1" x14ac:dyDescent="0.35">
      <c r="A4" s="4" t="s">
        <v>2513</v>
      </c>
      <c r="B4" t="s">
        <v>2516</v>
      </c>
      <c r="C4" t="s">
        <v>2517</v>
      </c>
      <c r="D4" t="s">
        <v>2518</v>
      </c>
      <c r="E4" t="s">
        <v>2519</v>
      </c>
      <c r="F4" t="s">
        <v>2514</v>
      </c>
      <c r="H4" s="7"/>
      <c r="I4" s="8" t="s">
        <v>27</v>
      </c>
      <c r="J4" s="8" t="s">
        <v>23</v>
      </c>
      <c r="K4" s="8" t="str">
        <f t="shared" ref="J4:L5" si="0">D4</f>
        <v>Other</v>
      </c>
      <c r="L4" s="9" t="str">
        <f t="shared" si="0"/>
        <v>Unknown</v>
      </c>
    </row>
    <row r="5" spans="1:12" ht="15.6" thickTop="1" thickBot="1" x14ac:dyDescent="0.35">
      <c r="A5" s="5" t="s">
        <v>18</v>
      </c>
      <c r="B5" s="6">
        <v>0.18961825201634841</v>
      </c>
      <c r="C5" s="6">
        <v>0.12262322351336576</v>
      </c>
      <c r="D5" s="6">
        <v>1.060537752469185E-2</v>
      </c>
      <c r="E5" s="6">
        <v>3.0599220547662797E-2</v>
      </c>
      <c r="F5" s="6">
        <v>0.35344607360206881</v>
      </c>
      <c r="H5" s="10" t="str">
        <f>A5</f>
        <v>App</v>
      </c>
      <c r="I5" s="11">
        <f t="shared" ref="I5" si="1">B5</f>
        <v>0.18961825201634841</v>
      </c>
      <c r="J5" s="11">
        <f t="shared" si="0"/>
        <v>0.12262322351336576</v>
      </c>
      <c r="K5" s="11">
        <f t="shared" si="0"/>
        <v>1.060537752469185E-2</v>
      </c>
      <c r="L5" s="12">
        <f t="shared" si="0"/>
        <v>3.0599220547662797E-2</v>
      </c>
    </row>
    <row r="6" spans="1:12" ht="15.6" thickTop="1" thickBot="1" x14ac:dyDescent="0.35">
      <c r="A6" s="5" t="s">
        <v>51</v>
      </c>
      <c r="B6" s="6">
        <v>5.0283982091147303E-2</v>
      </c>
      <c r="C6" s="6">
        <v>4.3060781812819873E-2</v>
      </c>
      <c r="D6" s="6">
        <v>1.5320025675641944E-3</v>
      </c>
      <c r="E6" s="6">
        <v>1.7794988689097006E-2</v>
      </c>
      <c r="F6" s="6">
        <v>0.11267175516062837</v>
      </c>
      <c r="H6" s="10" t="str">
        <f t="shared" ref="H6:H9" si="2">A6</f>
        <v>Instagram</v>
      </c>
      <c r="I6" s="11">
        <f t="shared" ref="I6:I9" si="3">B6</f>
        <v>5.0283982091147303E-2</v>
      </c>
      <c r="J6" s="11">
        <f t="shared" ref="J6:J9" si="4">C6</f>
        <v>4.3060781812819873E-2</v>
      </c>
      <c r="K6" s="11">
        <f t="shared" ref="K6:K9" si="5">D6</f>
        <v>1.5320025675641944E-3</v>
      </c>
      <c r="L6" s="12">
        <f t="shared" ref="L6:L9" si="6">E6</f>
        <v>1.7794988689097006E-2</v>
      </c>
    </row>
    <row r="7" spans="1:12" ht="15.6" thickTop="1" thickBot="1" x14ac:dyDescent="0.35">
      <c r="A7" s="5" t="s">
        <v>70</v>
      </c>
      <c r="B7" s="6">
        <v>6.3496059750411282E-2</v>
      </c>
      <c r="C7" s="6">
        <v>4.6071629863988765E-2</v>
      </c>
      <c r="D7" s="6">
        <v>2.306247051322625E-3</v>
      </c>
      <c r="E7" s="6">
        <v>3.8927934093844286E-3</v>
      </c>
      <c r="F7" s="6">
        <v>0.11576673007510711</v>
      </c>
      <c r="H7" s="10" t="str">
        <f t="shared" si="2"/>
        <v>Partner App</v>
      </c>
      <c r="I7" s="11">
        <f t="shared" si="3"/>
        <v>6.3496059750411282E-2</v>
      </c>
      <c r="J7" s="11">
        <f t="shared" si="4"/>
        <v>4.6071629863988765E-2</v>
      </c>
      <c r="K7" s="11">
        <f t="shared" si="5"/>
        <v>2.306247051322625E-3</v>
      </c>
      <c r="L7" s="12">
        <f t="shared" si="6"/>
        <v>3.8927934093844286E-3</v>
      </c>
    </row>
    <row r="8" spans="1:12" ht="15.6" thickTop="1" thickBot="1" x14ac:dyDescent="0.35">
      <c r="A8" s="5" t="s">
        <v>40</v>
      </c>
      <c r="B8" s="6">
        <v>9.6337892927149532E-2</v>
      </c>
      <c r="C8" s="6">
        <v>6.7920115842382611E-2</v>
      </c>
      <c r="D8" s="6">
        <v>5.4979832664581261E-3</v>
      </c>
      <c r="E8" s="6">
        <v>1.2933041488102518E-2</v>
      </c>
      <c r="F8" s="6">
        <v>0.1826890335240928</v>
      </c>
      <c r="H8" s="10" t="str">
        <f t="shared" si="2"/>
        <v>Target.com</v>
      </c>
      <c r="I8" s="11">
        <f t="shared" si="3"/>
        <v>9.6337892927149532E-2</v>
      </c>
      <c r="J8" s="11">
        <f t="shared" si="4"/>
        <v>6.7920115842382611E-2</v>
      </c>
      <c r="K8" s="11">
        <f t="shared" si="5"/>
        <v>5.4979832664581261E-3</v>
      </c>
      <c r="L8" s="12">
        <f t="shared" si="6"/>
        <v>1.2933041488102518E-2</v>
      </c>
    </row>
    <row r="9" spans="1:12" ht="15" thickTop="1" x14ac:dyDescent="0.3">
      <c r="A9" s="5" t="s">
        <v>35</v>
      </c>
      <c r="B9" s="6">
        <v>0.12522098709469262</v>
      </c>
      <c r="C9" s="6">
        <v>9.1492740283116228E-2</v>
      </c>
      <c r="D9" s="6">
        <v>6.3042760790965081E-3</v>
      </c>
      <c r="E9" s="6">
        <v>1.2408404181197551E-2</v>
      </c>
      <c r="F9" s="6">
        <v>0.23542640763810288</v>
      </c>
      <c r="H9" s="13" t="str">
        <f t="shared" si="2"/>
        <v>Website</v>
      </c>
      <c r="I9" s="14">
        <f t="shared" si="3"/>
        <v>0.12522098709469262</v>
      </c>
      <c r="J9" s="14">
        <f t="shared" si="4"/>
        <v>9.1492740283116228E-2</v>
      </c>
      <c r="K9" s="14">
        <f t="shared" si="5"/>
        <v>6.3042760790965081E-3</v>
      </c>
      <c r="L9" s="15">
        <f t="shared" si="6"/>
        <v>1.2408404181197551E-2</v>
      </c>
    </row>
    <row r="10" spans="1:12" x14ac:dyDescent="0.3">
      <c r="A10" s="5" t="s">
        <v>2514</v>
      </c>
      <c r="B10" s="6">
        <v>0.52495717387974916</v>
      </c>
      <c r="C10" s="6">
        <v>0.3711684913156732</v>
      </c>
      <c r="D10" s="6">
        <v>2.6245886489133303E-2</v>
      </c>
      <c r="E10" s="6">
        <v>7.7628448315444312E-2</v>
      </c>
      <c r="F10" s="6">
        <v>1</v>
      </c>
    </row>
  </sheetData>
  <conditionalFormatting sqref="I5:L9">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EAA01-9564-4590-800A-7FF5C7F55484}">
  <dimension ref="A3:B11"/>
  <sheetViews>
    <sheetView workbookViewId="0">
      <selection activeCell="A8" sqref="A4:A10"/>
      <pivotSelection pane="bottomRight" showHeader="1" axis="axisRow" activeRow="7" previousRow="7" click="1" r:id="rId1">
        <pivotArea dataOnly="0" labelOnly="1" fieldPosition="0">
          <references count="1">
            <reference field="15" count="0"/>
          </references>
        </pivotArea>
      </pivotSelection>
    </sheetView>
  </sheetViews>
  <sheetFormatPr defaultRowHeight="14.4" x14ac:dyDescent="0.3"/>
  <cols>
    <col min="1" max="1" width="12.44140625" bestFit="1" customWidth="1"/>
    <col min="2" max="2" width="12.21875" bestFit="1" customWidth="1"/>
  </cols>
  <sheetData>
    <row r="3" spans="1:2" x14ac:dyDescent="0.3">
      <c r="A3" s="4" t="s">
        <v>2513</v>
      </c>
      <c r="B3" t="s">
        <v>2504</v>
      </c>
    </row>
    <row r="4" spans="1:2" x14ac:dyDescent="0.3">
      <c r="A4" s="5">
        <v>1</v>
      </c>
      <c r="B4">
        <v>397</v>
      </c>
    </row>
    <row r="5" spans="1:2" x14ac:dyDescent="0.3">
      <c r="A5" s="5">
        <v>2</v>
      </c>
      <c r="B5">
        <v>540</v>
      </c>
    </row>
    <row r="6" spans="1:2" x14ac:dyDescent="0.3">
      <c r="A6" s="5">
        <v>3</v>
      </c>
      <c r="B6">
        <v>375</v>
      </c>
    </row>
    <row r="7" spans="1:2" x14ac:dyDescent="0.3">
      <c r="A7" s="5">
        <v>4</v>
      </c>
      <c r="B7">
        <v>246</v>
      </c>
    </row>
    <row r="8" spans="1:2" x14ac:dyDescent="0.3">
      <c r="A8" s="5">
        <v>5</v>
      </c>
      <c r="B8">
        <v>195</v>
      </c>
    </row>
    <row r="9" spans="1:2" x14ac:dyDescent="0.3">
      <c r="A9" s="5" t="s">
        <v>2521</v>
      </c>
      <c r="B9">
        <v>414</v>
      </c>
    </row>
    <row r="10" spans="1:2" x14ac:dyDescent="0.3">
      <c r="A10" s="5" t="s">
        <v>2522</v>
      </c>
      <c r="B10">
        <v>233</v>
      </c>
    </row>
    <row r="11" spans="1:2" x14ac:dyDescent="0.3">
      <c r="A11" s="5" t="s">
        <v>2514</v>
      </c>
      <c r="B11">
        <v>2400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44707-6DE2-4778-ACC8-7482C07E67B0}">
  <dimension ref="A3:K25"/>
  <sheetViews>
    <sheetView workbookViewId="0">
      <selection activeCell="K8" sqref="K8"/>
    </sheetView>
  </sheetViews>
  <sheetFormatPr defaultRowHeight="14.4" x14ac:dyDescent="0.3"/>
  <cols>
    <col min="1" max="1" width="19.109375" bestFit="1" customWidth="1"/>
    <col min="2" max="2" width="15.5546875" bestFit="1" customWidth="1"/>
    <col min="3" max="3" width="5" bestFit="1" customWidth="1"/>
    <col min="4" max="4" width="5.6640625" bestFit="1" customWidth="1"/>
    <col min="5" max="5" width="8.5546875" bestFit="1" customWidth="1"/>
    <col min="6" max="6" width="10.5546875" bestFit="1" customWidth="1"/>
    <col min="10" max="10" width="12.44140625" bestFit="1" customWidth="1"/>
    <col min="11" max="11" width="14.21875" bestFit="1" customWidth="1"/>
    <col min="12" max="12" width="5" bestFit="1" customWidth="1"/>
    <col min="13" max="13" width="5.6640625" bestFit="1" customWidth="1"/>
    <col min="14" max="14" width="8.5546875" bestFit="1" customWidth="1"/>
    <col min="15" max="15" width="10.5546875" bestFit="1" customWidth="1"/>
  </cols>
  <sheetData>
    <row r="3" spans="1:11" x14ac:dyDescent="0.3">
      <c r="A3" s="4" t="s">
        <v>2505</v>
      </c>
      <c r="B3" s="4" t="s">
        <v>2515</v>
      </c>
    </row>
    <row r="4" spans="1:11" x14ac:dyDescent="0.3">
      <c r="A4" s="4" t="s">
        <v>2513</v>
      </c>
      <c r="B4" t="s">
        <v>2516</v>
      </c>
      <c r="C4" t="s">
        <v>2517</v>
      </c>
      <c r="D4" t="s">
        <v>2518</v>
      </c>
      <c r="E4" t="s">
        <v>2519</v>
      </c>
      <c r="F4" t="s">
        <v>2514</v>
      </c>
      <c r="J4" s="4" t="s">
        <v>2513</v>
      </c>
      <c r="K4" t="s">
        <v>2505</v>
      </c>
    </row>
    <row r="5" spans="1:11" x14ac:dyDescent="0.3">
      <c r="A5" s="5" t="s">
        <v>44</v>
      </c>
      <c r="B5">
        <v>744</v>
      </c>
      <c r="C5">
        <v>713</v>
      </c>
      <c r="D5">
        <v>90</v>
      </c>
      <c r="E5">
        <v>98</v>
      </c>
      <c r="F5">
        <v>1645</v>
      </c>
      <c r="J5" s="5" t="s">
        <v>2516</v>
      </c>
      <c r="K5">
        <v>6272</v>
      </c>
    </row>
    <row r="6" spans="1:11" x14ac:dyDescent="0.3">
      <c r="A6" s="5" t="s">
        <v>39</v>
      </c>
      <c r="B6">
        <v>716</v>
      </c>
      <c r="C6">
        <v>598</v>
      </c>
      <c r="D6">
        <v>18</v>
      </c>
      <c r="E6">
        <v>214</v>
      </c>
      <c r="F6">
        <v>1546</v>
      </c>
      <c r="J6" s="5" t="s">
        <v>2517</v>
      </c>
      <c r="K6">
        <v>4672</v>
      </c>
    </row>
    <row r="7" spans="1:11" x14ac:dyDescent="0.3">
      <c r="A7" s="5" t="s">
        <v>26</v>
      </c>
      <c r="B7">
        <v>627</v>
      </c>
      <c r="C7">
        <v>393</v>
      </c>
      <c r="D7">
        <v>29</v>
      </c>
      <c r="E7">
        <v>137</v>
      </c>
      <c r="F7">
        <v>1186</v>
      </c>
      <c r="J7" s="5" t="s">
        <v>2518</v>
      </c>
      <c r="K7">
        <v>317</v>
      </c>
    </row>
    <row r="8" spans="1:11" x14ac:dyDescent="0.3">
      <c r="A8" s="5" t="s">
        <v>22</v>
      </c>
      <c r="B8">
        <v>568</v>
      </c>
      <c r="C8">
        <v>306</v>
      </c>
      <c r="D8">
        <v>22</v>
      </c>
      <c r="E8">
        <v>16</v>
      </c>
      <c r="F8">
        <v>912</v>
      </c>
      <c r="J8" s="5" t="s">
        <v>2519</v>
      </c>
      <c r="K8">
        <v>736</v>
      </c>
    </row>
    <row r="9" spans="1:11" x14ac:dyDescent="0.3">
      <c r="A9" s="5" t="s">
        <v>54</v>
      </c>
      <c r="B9">
        <v>482</v>
      </c>
      <c r="C9">
        <v>295</v>
      </c>
      <c r="D9">
        <v>8</v>
      </c>
      <c r="E9">
        <v>22</v>
      </c>
      <c r="F9">
        <v>807</v>
      </c>
      <c r="J9" s="5" t="s">
        <v>2514</v>
      </c>
      <c r="K9">
        <v>11997</v>
      </c>
    </row>
    <row r="10" spans="1:11" x14ac:dyDescent="0.3">
      <c r="A10" s="5" t="s">
        <v>16</v>
      </c>
      <c r="B10">
        <v>428</v>
      </c>
      <c r="C10">
        <v>293</v>
      </c>
      <c r="E10">
        <v>24</v>
      </c>
      <c r="F10">
        <v>745</v>
      </c>
    </row>
    <row r="11" spans="1:11" x14ac:dyDescent="0.3">
      <c r="A11" s="5" t="s">
        <v>46</v>
      </c>
      <c r="B11">
        <v>445</v>
      </c>
      <c r="C11">
        <v>202</v>
      </c>
      <c r="D11">
        <v>14</v>
      </c>
      <c r="E11">
        <v>39</v>
      </c>
      <c r="F11">
        <v>700</v>
      </c>
    </row>
    <row r="12" spans="1:11" x14ac:dyDescent="0.3">
      <c r="A12" s="5" t="s">
        <v>32</v>
      </c>
      <c r="B12">
        <v>431</v>
      </c>
      <c r="C12">
        <v>187</v>
      </c>
      <c r="D12">
        <v>14</v>
      </c>
      <c r="E12">
        <v>15</v>
      </c>
      <c r="F12">
        <v>647</v>
      </c>
    </row>
    <row r="13" spans="1:11" x14ac:dyDescent="0.3">
      <c r="A13" s="5" t="s">
        <v>42</v>
      </c>
      <c r="B13">
        <v>264</v>
      </c>
      <c r="C13">
        <v>318</v>
      </c>
      <c r="D13">
        <v>15</v>
      </c>
      <c r="E13">
        <v>9</v>
      </c>
      <c r="F13">
        <v>606</v>
      </c>
    </row>
    <row r="14" spans="1:11" x14ac:dyDescent="0.3">
      <c r="A14" s="5" t="s">
        <v>37</v>
      </c>
      <c r="B14">
        <v>296</v>
      </c>
      <c r="C14">
        <v>275</v>
      </c>
      <c r="D14">
        <v>9</v>
      </c>
      <c r="E14">
        <v>23</v>
      </c>
      <c r="F14">
        <v>603</v>
      </c>
    </row>
    <row r="15" spans="1:11" x14ac:dyDescent="0.3">
      <c r="A15" s="5" t="s">
        <v>123</v>
      </c>
      <c r="B15">
        <v>153</v>
      </c>
      <c r="C15">
        <v>246</v>
      </c>
      <c r="D15">
        <v>30</v>
      </c>
      <c r="E15">
        <v>8</v>
      </c>
      <c r="F15">
        <v>437</v>
      </c>
    </row>
    <row r="16" spans="1:11" x14ac:dyDescent="0.3">
      <c r="A16" s="5" t="s">
        <v>146</v>
      </c>
      <c r="B16">
        <v>189</v>
      </c>
      <c r="C16">
        <v>168</v>
      </c>
      <c r="D16">
        <v>10</v>
      </c>
      <c r="E16">
        <v>31</v>
      </c>
      <c r="F16">
        <v>398</v>
      </c>
    </row>
    <row r="17" spans="1:6" x14ac:dyDescent="0.3">
      <c r="A17" s="5" t="s">
        <v>69</v>
      </c>
      <c r="B17">
        <v>234</v>
      </c>
      <c r="C17">
        <v>93</v>
      </c>
      <c r="D17">
        <v>19</v>
      </c>
      <c r="E17">
        <v>24</v>
      </c>
      <c r="F17">
        <v>370</v>
      </c>
    </row>
    <row r="18" spans="1:6" x14ac:dyDescent="0.3">
      <c r="A18" s="5" t="s">
        <v>30</v>
      </c>
      <c r="B18">
        <v>146</v>
      </c>
      <c r="C18">
        <v>94</v>
      </c>
      <c r="D18">
        <v>4</v>
      </c>
      <c r="E18">
        <v>28</v>
      </c>
      <c r="F18">
        <v>272</v>
      </c>
    </row>
    <row r="19" spans="1:6" x14ac:dyDescent="0.3">
      <c r="A19" s="5" t="s">
        <v>135</v>
      </c>
      <c r="B19">
        <v>127</v>
      </c>
      <c r="C19">
        <v>118</v>
      </c>
      <c r="D19">
        <v>13</v>
      </c>
      <c r="E19">
        <v>12</v>
      </c>
      <c r="F19">
        <v>270</v>
      </c>
    </row>
    <row r="20" spans="1:6" x14ac:dyDescent="0.3">
      <c r="A20" s="5" t="s">
        <v>67</v>
      </c>
      <c r="B20">
        <v>179</v>
      </c>
      <c r="C20">
        <v>76</v>
      </c>
      <c r="D20">
        <v>3</v>
      </c>
      <c r="F20">
        <v>258</v>
      </c>
    </row>
    <row r="21" spans="1:6" x14ac:dyDescent="0.3">
      <c r="A21" s="5" t="s">
        <v>128</v>
      </c>
      <c r="B21">
        <v>99</v>
      </c>
      <c r="C21">
        <v>69</v>
      </c>
      <c r="D21">
        <v>3</v>
      </c>
      <c r="E21">
        <v>24</v>
      </c>
      <c r="F21">
        <v>195</v>
      </c>
    </row>
    <row r="22" spans="1:6" x14ac:dyDescent="0.3">
      <c r="A22" s="5" t="s">
        <v>76</v>
      </c>
      <c r="B22">
        <v>75</v>
      </c>
      <c r="C22">
        <v>103</v>
      </c>
      <c r="D22">
        <v>4</v>
      </c>
      <c r="E22">
        <v>6</v>
      </c>
      <c r="F22">
        <v>188</v>
      </c>
    </row>
    <row r="23" spans="1:6" x14ac:dyDescent="0.3">
      <c r="A23" s="5" t="s">
        <v>81</v>
      </c>
      <c r="B23">
        <v>43</v>
      </c>
      <c r="C23">
        <v>90</v>
      </c>
      <c r="D23">
        <v>8</v>
      </c>
      <c r="E23">
        <v>6</v>
      </c>
      <c r="F23">
        <v>147</v>
      </c>
    </row>
    <row r="24" spans="1:6" x14ac:dyDescent="0.3">
      <c r="A24" s="5" t="s">
        <v>171</v>
      </c>
      <c r="B24">
        <v>26</v>
      </c>
      <c r="C24">
        <v>35</v>
      </c>
      <c r="D24">
        <v>4</v>
      </c>
      <c r="F24">
        <v>65</v>
      </c>
    </row>
    <row r="25" spans="1:6" x14ac:dyDescent="0.3">
      <c r="A25" s="5" t="s">
        <v>2514</v>
      </c>
      <c r="B25">
        <v>6272</v>
      </c>
      <c r="C25">
        <v>4672</v>
      </c>
      <c r="D25">
        <v>317</v>
      </c>
      <c r="E25">
        <v>736</v>
      </c>
      <c r="F25">
        <v>11997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F2492-1D21-412D-A0F3-FA6969ED7C7C}">
  <dimension ref="A2:M61"/>
  <sheetViews>
    <sheetView workbookViewId="0">
      <selection activeCell="G3" sqref="G3"/>
      <pivotSelection pane="bottomRight" activeRow="3" activeCol="6" previousRow="3" previousCol="6" click="2" r:id="rId2">
        <pivotArea field="10" type="button" dataOnly="0" labelOnly="1" outline="0" axis="axisRow" fieldPosition="0"/>
      </pivotSelection>
    </sheetView>
  </sheetViews>
  <sheetFormatPr defaultRowHeight="14.4" x14ac:dyDescent="0.3"/>
  <cols>
    <col min="1" max="1" width="22.77734375" bestFit="1" customWidth="1"/>
    <col min="2" max="2" width="19.6640625" bestFit="1" customWidth="1"/>
    <col min="3" max="3" width="14.21875" bestFit="1" customWidth="1"/>
    <col min="4" max="4" width="13.5546875" bestFit="1" customWidth="1"/>
    <col min="7" max="7" width="10.77734375" bestFit="1" customWidth="1"/>
    <col min="8" max="8" width="19.6640625" bestFit="1" customWidth="1"/>
    <col min="9" max="9" width="14.21875" bestFit="1" customWidth="1"/>
    <col min="10" max="10" width="13.5546875" bestFit="1" customWidth="1"/>
    <col min="12" max="12" width="19.6640625" bestFit="1" customWidth="1"/>
    <col min="13" max="13" width="13.5546875" bestFit="1" customWidth="1"/>
  </cols>
  <sheetData>
    <row r="2" spans="1:13" x14ac:dyDescent="0.3">
      <c r="G2" t="s">
        <v>2523</v>
      </c>
      <c r="K2" t="s">
        <v>2524</v>
      </c>
    </row>
    <row r="3" spans="1:13" x14ac:dyDescent="0.3">
      <c r="A3" s="4" t="s">
        <v>10</v>
      </c>
      <c r="B3" s="4" t="s">
        <v>11</v>
      </c>
      <c r="C3" t="s">
        <v>2505</v>
      </c>
      <c r="D3" t="s">
        <v>2506</v>
      </c>
      <c r="G3" s="4" t="s">
        <v>10</v>
      </c>
      <c r="H3" s="4" t="s">
        <v>11</v>
      </c>
      <c r="I3" t="s">
        <v>2505</v>
      </c>
      <c r="K3" s="4" t="s">
        <v>10</v>
      </c>
      <c r="L3" s="4" t="s">
        <v>11</v>
      </c>
      <c r="M3" t="s">
        <v>2506</v>
      </c>
    </row>
    <row r="4" spans="1:13" x14ac:dyDescent="0.3">
      <c r="A4" t="s">
        <v>19</v>
      </c>
      <c r="B4" t="s">
        <v>115</v>
      </c>
      <c r="C4">
        <v>579</v>
      </c>
      <c r="D4">
        <v>31884.999999999996</v>
      </c>
      <c r="G4" t="s">
        <v>19</v>
      </c>
      <c r="H4" t="s">
        <v>115</v>
      </c>
      <c r="I4">
        <v>579</v>
      </c>
      <c r="K4" t="s">
        <v>19</v>
      </c>
      <c r="L4" t="s">
        <v>115</v>
      </c>
      <c r="M4">
        <v>31884.999999999996</v>
      </c>
    </row>
    <row r="5" spans="1:13" x14ac:dyDescent="0.3">
      <c r="A5" t="s">
        <v>19</v>
      </c>
      <c r="B5" t="s">
        <v>20</v>
      </c>
      <c r="C5">
        <v>1</v>
      </c>
      <c r="D5">
        <v>10.9</v>
      </c>
      <c r="G5" t="s">
        <v>19</v>
      </c>
      <c r="H5" t="s">
        <v>20</v>
      </c>
      <c r="I5">
        <v>1</v>
      </c>
      <c r="K5" t="s">
        <v>19</v>
      </c>
      <c r="L5" t="s">
        <v>20</v>
      </c>
      <c r="M5">
        <v>10.9</v>
      </c>
    </row>
    <row r="6" spans="1:13" x14ac:dyDescent="0.3">
      <c r="A6" t="s">
        <v>19</v>
      </c>
      <c r="B6" t="s">
        <v>641</v>
      </c>
      <c r="C6">
        <v>9</v>
      </c>
      <c r="D6">
        <v>800.3</v>
      </c>
      <c r="G6" t="s">
        <v>19</v>
      </c>
      <c r="H6" t="s">
        <v>641</v>
      </c>
      <c r="I6">
        <v>9</v>
      </c>
      <c r="K6" t="s">
        <v>19</v>
      </c>
      <c r="L6" t="s">
        <v>641</v>
      </c>
      <c r="M6">
        <v>800.3</v>
      </c>
    </row>
    <row r="7" spans="1:13" x14ac:dyDescent="0.3">
      <c r="A7" t="s">
        <v>19</v>
      </c>
      <c r="B7" t="s">
        <v>967</v>
      </c>
      <c r="C7">
        <v>35</v>
      </c>
      <c r="D7">
        <v>1062.5999999999999</v>
      </c>
      <c r="G7" t="s">
        <v>19</v>
      </c>
      <c r="H7" t="s">
        <v>967</v>
      </c>
      <c r="I7">
        <v>35</v>
      </c>
      <c r="K7" t="s">
        <v>19</v>
      </c>
      <c r="L7" t="s">
        <v>967</v>
      </c>
      <c r="M7">
        <v>1062.5999999999999</v>
      </c>
    </row>
    <row r="8" spans="1:13" x14ac:dyDescent="0.3">
      <c r="A8" t="s">
        <v>19</v>
      </c>
      <c r="B8" t="s">
        <v>84</v>
      </c>
      <c r="C8">
        <v>12</v>
      </c>
      <c r="D8">
        <v>326.20000000000005</v>
      </c>
      <c r="G8" t="s">
        <v>19</v>
      </c>
      <c r="H8" t="s">
        <v>84</v>
      </c>
      <c r="I8">
        <v>12</v>
      </c>
      <c r="K8" t="s">
        <v>19</v>
      </c>
      <c r="L8" t="s">
        <v>84</v>
      </c>
      <c r="M8">
        <v>326.20000000000005</v>
      </c>
    </row>
    <row r="9" spans="1:13" x14ac:dyDescent="0.3">
      <c r="A9" t="s">
        <v>19</v>
      </c>
      <c r="B9" t="s">
        <v>1383</v>
      </c>
      <c r="C9">
        <v>4</v>
      </c>
      <c r="D9">
        <v>167.5</v>
      </c>
      <c r="G9" t="s">
        <v>19</v>
      </c>
      <c r="H9" t="s">
        <v>1383</v>
      </c>
      <c r="I9">
        <v>4</v>
      </c>
      <c r="K9" t="s">
        <v>19</v>
      </c>
      <c r="L9" t="s">
        <v>1383</v>
      </c>
      <c r="M9">
        <v>167.5</v>
      </c>
    </row>
    <row r="10" spans="1:13" x14ac:dyDescent="0.3">
      <c r="A10" t="s">
        <v>19</v>
      </c>
      <c r="B10" t="s">
        <v>24</v>
      </c>
      <c r="C10">
        <v>341</v>
      </c>
      <c r="D10">
        <v>16168.7</v>
      </c>
      <c r="G10" t="s">
        <v>19</v>
      </c>
      <c r="H10" t="s">
        <v>24</v>
      </c>
      <c r="I10">
        <v>341</v>
      </c>
      <c r="K10" t="s">
        <v>19</v>
      </c>
      <c r="L10" t="s">
        <v>24</v>
      </c>
      <c r="M10">
        <v>16168.7</v>
      </c>
    </row>
    <row r="11" spans="1:13" x14ac:dyDescent="0.3">
      <c r="A11" t="s">
        <v>19</v>
      </c>
      <c r="B11" t="s">
        <v>2204</v>
      </c>
      <c r="C11">
        <v>13</v>
      </c>
      <c r="D11">
        <v>322.40000000000003</v>
      </c>
      <c r="G11" t="s">
        <v>19</v>
      </c>
      <c r="H11" t="s">
        <v>2204</v>
      </c>
      <c r="I11">
        <v>13</v>
      </c>
      <c r="K11" t="s">
        <v>19</v>
      </c>
      <c r="L11" t="s">
        <v>2204</v>
      </c>
      <c r="M11">
        <v>322.40000000000003</v>
      </c>
    </row>
    <row r="12" spans="1:13" x14ac:dyDescent="0.3">
      <c r="A12" t="s">
        <v>19</v>
      </c>
      <c r="B12" t="s">
        <v>437</v>
      </c>
      <c r="C12">
        <v>31</v>
      </c>
      <c r="D12">
        <v>2092.8000000000002</v>
      </c>
      <c r="G12" t="s">
        <v>19</v>
      </c>
      <c r="H12" t="s">
        <v>437</v>
      </c>
      <c r="I12">
        <v>31</v>
      </c>
      <c r="K12" t="s">
        <v>19</v>
      </c>
      <c r="L12" t="s">
        <v>437</v>
      </c>
      <c r="M12">
        <v>2092.8000000000002</v>
      </c>
    </row>
    <row r="13" spans="1:13" x14ac:dyDescent="0.3">
      <c r="A13" t="s">
        <v>19</v>
      </c>
      <c r="B13" t="s">
        <v>28</v>
      </c>
      <c r="C13">
        <v>279</v>
      </c>
      <c r="D13">
        <v>12662.500000000002</v>
      </c>
      <c r="G13" t="s">
        <v>19</v>
      </c>
      <c r="H13" t="s">
        <v>28</v>
      </c>
      <c r="I13">
        <v>279</v>
      </c>
      <c r="K13" t="s">
        <v>19</v>
      </c>
      <c r="L13" t="s">
        <v>28</v>
      </c>
      <c r="M13">
        <v>12662.500000000002</v>
      </c>
    </row>
    <row r="14" spans="1:13" x14ac:dyDescent="0.3">
      <c r="A14" t="s">
        <v>19</v>
      </c>
      <c r="B14" t="s">
        <v>208</v>
      </c>
      <c r="C14">
        <v>9</v>
      </c>
      <c r="D14">
        <v>343.2</v>
      </c>
      <c r="G14" t="s">
        <v>19</v>
      </c>
      <c r="H14" t="s">
        <v>208</v>
      </c>
      <c r="I14">
        <v>9</v>
      </c>
      <c r="K14" t="s">
        <v>19</v>
      </c>
      <c r="L14" t="s">
        <v>208</v>
      </c>
      <c r="M14">
        <v>343.2</v>
      </c>
    </row>
    <row r="15" spans="1:13" x14ac:dyDescent="0.3">
      <c r="A15" t="s">
        <v>19</v>
      </c>
      <c r="B15" t="s">
        <v>587</v>
      </c>
      <c r="C15">
        <v>49</v>
      </c>
      <c r="D15">
        <v>2188.2999999999997</v>
      </c>
      <c r="G15" t="s">
        <v>19</v>
      </c>
      <c r="H15" t="s">
        <v>587</v>
      </c>
      <c r="I15">
        <v>49</v>
      </c>
      <c r="K15" t="s">
        <v>19</v>
      </c>
      <c r="L15" t="s">
        <v>587</v>
      </c>
      <c r="M15">
        <v>2188.2999999999997</v>
      </c>
    </row>
    <row r="16" spans="1:13" x14ac:dyDescent="0.3">
      <c r="A16" t="s">
        <v>19</v>
      </c>
      <c r="B16" t="s">
        <v>331</v>
      </c>
      <c r="C16">
        <v>59</v>
      </c>
      <c r="D16">
        <v>2661.5999999999995</v>
      </c>
      <c r="G16" t="s">
        <v>19</v>
      </c>
      <c r="H16" t="s">
        <v>331</v>
      </c>
      <c r="I16">
        <v>59</v>
      </c>
      <c r="K16" t="s">
        <v>19</v>
      </c>
      <c r="L16" t="s">
        <v>331</v>
      </c>
      <c r="M16">
        <v>2661.5999999999995</v>
      </c>
    </row>
    <row r="17" spans="1:13" x14ac:dyDescent="0.3">
      <c r="A17" t="s">
        <v>19</v>
      </c>
      <c r="B17" t="s">
        <v>86</v>
      </c>
      <c r="C17">
        <v>8</v>
      </c>
      <c r="D17">
        <v>887.5</v>
      </c>
      <c r="G17" t="s">
        <v>19</v>
      </c>
      <c r="H17" t="s">
        <v>86</v>
      </c>
      <c r="I17">
        <v>8</v>
      </c>
      <c r="K17" t="s">
        <v>19</v>
      </c>
      <c r="L17" t="s">
        <v>86</v>
      </c>
      <c r="M17">
        <v>887.5</v>
      </c>
    </row>
    <row r="18" spans="1:13" x14ac:dyDescent="0.3">
      <c r="A18" t="s">
        <v>19</v>
      </c>
      <c r="B18" t="s">
        <v>147</v>
      </c>
      <c r="C18">
        <v>222</v>
      </c>
      <c r="D18">
        <v>11354.199999999993</v>
      </c>
      <c r="G18" t="s">
        <v>19</v>
      </c>
      <c r="H18" t="s">
        <v>147</v>
      </c>
      <c r="I18">
        <v>222</v>
      </c>
      <c r="K18" t="s">
        <v>19</v>
      </c>
      <c r="L18" t="s">
        <v>147</v>
      </c>
      <c r="M18">
        <v>11354.199999999993</v>
      </c>
    </row>
    <row r="19" spans="1:13" x14ac:dyDescent="0.3">
      <c r="A19" t="s">
        <v>19</v>
      </c>
      <c r="B19" t="s">
        <v>334</v>
      </c>
      <c r="C19">
        <v>36</v>
      </c>
      <c r="D19">
        <v>1558.4</v>
      </c>
      <c r="G19" t="s">
        <v>19</v>
      </c>
      <c r="H19" t="s">
        <v>334</v>
      </c>
      <c r="I19">
        <v>36</v>
      </c>
      <c r="K19" t="s">
        <v>19</v>
      </c>
      <c r="L19" t="s">
        <v>334</v>
      </c>
      <c r="M19">
        <v>1558.4</v>
      </c>
    </row>
    <row r="20" spans="1:13" x14ac:dyDescent="0.3">
      <c r="A20" t="s">
        <v>19</v>
      </c>
      <c r="B20" t="s">
        <v>949</v>
      </c>
      <c r="C20">
        <v>30</v>
      </c>
      <c r="D20">
        <v>2223.9</v>
      </c>
      <c r="G20" t="s">
        <v>19</v>
      </c>
      <c r="H20" t="s">
        <v>949</v>
      </c>
      <c r="I20">
        <v>30</v>
      </c>
      <c r="K20" t="s">
        <v>19</v>
      </c>
      <c r="L20" t="s">
        <v>949</v>
      </c>
      <c r="M20">
        <v>2223.9</v>
      </c>
    </row>
    <row r="21" spans="1:13" x14ac:dyDescent="0.3">
      <c r="A21" t="s">
        <v>19</v>
      </c>
      <c r="B21" t="s">
        <v>1426</v>
      </c>
      <c r="C21">
        <v>1</v>
      </c>
      <c r="D21">
        <v>26.2</v>
      </c>
      <c r="G21" t="s">
        <v>19</v>
      </c>
      <c r="H21" t="s">
        <v>1426</v>
      </c>
      <c r="I21">
        <v>1</v>
      </c>
      <c r="K21" t="s">
        <v>19</v>
      </c>
      <c r="L21" t="s">
        <v>1426</v>
      </c>
      <c r="M21">
        <v>26.2</v>
      </c>
    </row>
    <row r="22" spans="1:13" x14ac:dyDescent="0.3">
      <c r="A22" t="s">
        <v>19</v>
      </c>
      <c r="B22" t="s">
        <v>33</v>
      </c>
      <c r="C22">
        <v>3991</v>
      </c>
      <c r="D22">
        <v>215551.19999999981</v>
      </c>
      <c r="G22" t="s">
        <v>19</v>
      </c>
      <c r="H22" t="s">
        <v>33</v>
      </c>
      <c r="I22">
        <v>3991</v>
      </c>
      <c r="K22" t="s">
        <v>19</v>
      </c>
      <c r="L22" t="s">
        <v>33</v>
      </c>
      <c r="M22">
        <v>215551.19999999981</v>
      </c>
    </row>
    <row r="23" spans="1:13" x14ac:dyDescent="0.3">
      <c r="A23" t="s">
        <v>19</v>
      </c>
      <c r="B23" t="s">
        <v>364</v>
      </c>
      <c r="C23">
        <v>45</v>
      </c>
      <c r="D23">
        <v>2687.3999999999996</v>
      </c>
      <c r="G23" t="s">
        <v>19</v>
      </c>
      <c r="H23" t="s">
        <v>364</v>
      </c>
      <c r="I23">
        <v>45</v>
      </c>
      <c r="K23" t="s">
        <v>19</v>
      </c>
      <c r="L23" t="s">
        <v>364</v>
      </c>
      <c r="M23">
        <v>2687.3999999999996</v>
      </c>
    </row>
    <row r="24" spans="1:13" x14ac:dyDescent="0.3">
      <c r="A24" t="s">
        <v>19</v>
      </c>
      <c r="B24" t="s">
        <v>545</v>
      </c>
      <c r="C24">
        <v>39</v>
      </c>
      <c r="D24">
        <v>1463.3000000000002</v>
      </c>
      <c r="G24" t="s">
        <v>19</v>
      </c>
      <c r="H24" t="s">
        <v>545</v>
      </c>
      <c r="I24">
        <v>39</v>
      </c>
      <c r="K24" t="s">
        <v>19</v>
      </c>
      <c r="L24" t="s">
        <v>545</v>
      </c>
      <c r="M24">
        <v>1463.3000000000002</v>
      </c>
    </row>
    <row r="25" spans="1:13" x14ac:dyDescent="0.3">
      <c r="A25" t="s">
        <v>19</v>
      </c>
      <c r="B25" t="s">
        <v>416</v>
      </c>
      <c r="C25">
        <v>6</v>
      </c>
      <c r="D25">
        <v>445.79999999999995</v>
      </c>
      <c r="G25" t="s">
        <v>19</v>
      </c>
      <c r="H25" t="s">
        <v>416</v>
      </c>
      <c r="I25">
        <v>6</v>
      </c>
      <c r="K25" t="s">
        <v>19</v>
      </c>
      <c r="L25" t="s">
        <v>416</v>
      </c>
      <c r="M25">
        <v>445.79999999999995</v>
      </c>
    </row>
    <row r="26" spans="1:13" x14ac:dyDescent="0.3">
      <c r="A26" t="s">
        <v>19</v>
      </c>
      <c r="B26" t="s">
        <v>258</v>
      </c>
      <c r="C26">
        <v>9</v>
      </c>
      <c r="D26">
        <v>273.59999999999997</v>
      </c>
      <c r="G26" t="s">
        <v>19</v>
      </c>
      <c r="H26" t="s">
        <v>258</v>
      </c>
      <c r="I26">
        <v>9</v>
      </c>
      <c r="K26" t="s">
        <v>19</v>
      </c>
      <c r="L26" t="s">
        <v>258</v>
      </c>
      <c r="M26">
        <v>273.59999999999997</v>
      </c>
    </row>
    <row r="27" spans="1:13" x14ac:dyDescent="0.3">
      <c r="A27" t="s">
        <v>19</v>
      </c>
      <c r="B27" t="s">
        <v>186</v>
      </c>
      <c r="C27">
        <v>60</v>
      </c>
      <c r="D27">
        <v>2690.4</v>
      </c>
      <c r="G27" t="s">
        <v>19</v>
      </c>
      <c r="H27" t="s">
        <v>186</v>
      </c>
      <c r="I27">
        <v>60</v>
      </c>
      <c r="K27" t="s">
        <v>19</v>
      </c>
      <c r="L27" t="s">
        <v>186</v>
      </c>
      <c r="M27">
        <v>2690.4</v>
      </c>
    </row>
    <row r="28" spans="1:13" x14ac:dyDescent="0.3">
      <c r="A28" t="s">
        <v>19</v>
      </c>
      <c r="B28" t="s">
        <v>392</v>
      </c>
      <c r="C28">
        <v>2</v>
      </c>
      <c r="D28">
        <v>28.4</v>
      </c>
      <c r="G28" t="s">
        <v>19</v>
      </c>
      <c r="H28" t="s">
        <v>392</v>
      </c>
      <c r="I28">
        <v>2</v>
      </c>
      <c r="K28" t="s">
        <v>19</v>
      </c>
      <c r="L28" t="s">
        <v>392</v>
      </c>
      <c r="M28">
        <v>28.4</v>
      </c>
    </row>
    <row r="29" spans="1:13" x14ac:dyDescent="0.3">
      <c r="A29" t="s">
        <v>19</v>
      </c>
      <c r="B29" t="s">
        <v>670</v>
      </c>
      <c r="C29">
        <v>4</v>
      </c>
      <c r="D29">
        <v>204.8</v>
      </c>
      <c r="G29" t="s">
        <v>19</v>
      </c>
      <c r="H29" t="s">
        <v>670</v>
      </c>
      <c r="I29">
        <v>4</v>
      </c>
      <c r="K29" t="s">
        <v>19</v>
      </c>
      <c r="L29" t="s">
        <v>670</v>
      </c>
      <c r="M29">
        <v>204.8</v>
      </c>
    </row>
    <row r="30" spans="1:13" x14ac:dyDescent="0.3">
      <c r="A30" t="s">
        <v>19</v>
      </c>
      <c r="B30" t="s">
        <v>802</v>
      </c>
      <c r="C30">
        <v>31</v>
      </c>
      <c r="D30">
        <v>1607.8999999999999</v>
      </c>
      <c r="G30" t="s">
        <v>19</v>
      </c>
      <c r="H30" t="s">
        <v>802</v>
      </c>
      <c r="I30">
        <v>31</v>
      </c>
      <c r="K30" t="s">
        <v>19</v>
      </c>
      <c r="L30" t="s">
        <v>802</v>
      </c>
      <c r="M30">
        <v>1607.8999999999999</v>
      </c>
    </row>
    <row r="31" spans="1:13" x14ac:dyDescent="0.3">
      <c r="A31" t="s">
        <v>19</v>
      </c>
      <c r="B31" t="s">
        <v>98</v>
      </c>
      <c r="C31">
        <v>88</v>
      </c>
      <c r="D31">
        <v>6444.9</v>
      </c>
      <c r="G31" t="s">
        <v>19</v>
      </c>
      <c r="H31" t="s">
        <v>98</v>
      </c>
      <c r="I31">
        <v>88</v>
      </c>
      <c r="K31" t="s">
        <v>19</v>
      </c>
      <c r="L31" t="s">
        <v>98</v>
      </c>
      <c r="M31">
        <v>6444.9</v>
      </c>
    </row>
    <row r="32" spans="1:13" x14ac:dyDescent="0.3">
      <c r="A32" t="s">
        <v>19</v>
      </c>
      <c r="B32" t="s">
        <v>49</v>
      </c>
      <c r="C32">
        <v>25</v>
      </c>
      <c r="D32">
        <v>1809.3</v>
      </c>
      <c r="G32" t="s">
        <v>19</v>
      </c>
      <c r="H32" t="s">
        <v>49</v>
      </c>
      <c r="I32">
        <v>25</v>
      </c>
      <c r="K32" t="s">
        <v>19</v>
      </c>
      <c r="L32" t="s">
        <v>49</v>
      </c>
      <c r="M32">
        <v>1809.3</v>
      </c>
    </row>
    <row r="33" spans="1:13" x14ac:dyDescent="0.3">
      <c r="A33" t="s">
        <v>19</v>
      </c>
      <c r="B33" t="s">
        <v>188</v>
      </c>
      <c r="C33">
        <v>178</v>
      </c>
      <c r="D33">
        <v>9680.399999999996</v>
      </c>
      <c r="G33" t="s">
        <v>19</v>
      </c>
      <c r="H33" t="s">
        <v>188</v>
      </c>
      <c r="I33">
        <v>178</v>
      </c>
      <c r="K33" t="s">
        <v>19</v>
      </c>
      <c r="L33" t="s">
        <v>188</v>
      </c>
      <c r="M33">
        <v>9680.399999999996</v>
      </c>
    </row>
    <row r="34" spans="1:13" x14ac:dyDescent="0.3">
      <c r="A34" t="s">
        <v>19</v>
      </c>
      <c r="B34" t="s">
        <v>52</v>
      </c>
      <c r="C34">
        <v>141</v>
      </c>
      <c r="D34">
        <v>9414.7999999999993</v>
      </c>
      <c r="G34" t="s">
        <v>19</v>
      </c>
      <c r="H34" t="s">
        <v>52</v>
      </c>
      <c r="I34">
        <v>141</v>
      </c>
      <c r="K34" t="s">
        <v>19</v>
      </c>
      <c r="L34" t="s">
        <v>52</v>
      </c>
      <c r="M34">
        <v>9414.7999999999993</v>
      </c>
    </row>
    <row r="35" spans="1:13" x14ac:dyDescent="0.3">
      <c r="A35" t="s">
        <v>19</v>
      </c>
      <c r="B35" t="s">
        <v>338</v>
      </c>
      <c r="C35">
        <v>6</v>
      </c>
      <c r="D35">
        <v>206.1</v>
      </c>
      <c r="G35" t="s">
        <v>19</v>
      </c>
      <c r="H35" t="s">
        <v>338</v>
      </c>
      <c r="I35">
        <v>6</v>
      </c>
      <c r="K35" t="s">
        <v>19</v>
      </c>
      <c r="L35" t="s">
        <v>338</v>
      </c>
      <c r="M35">
        <v>206.1</v>
      </c>
    </row>
    <row r="36" spans="1:13" x14ac:dyDescent="0.3">
      <c r="A36" t="s">
        <v>19</v>
      </c>
      <c r="B36" t="s">
        <v>158</v>
      </c>
      <c r="C36">
        <v>178</v>
      </c>
      <c r="D36">
        <v>7691.3</v>
      </c>
      <c r="G36" t="s">
        <v>19</v>
      </c>
      <c r="H36" t="s">
        <v>158</v>
      </c>
      <c r="I36">
        <v>178</v>
      </c>
      <c r="K36" t="s">
        <v>19</v>
      </c>
      <c r="L36" t="s">
        <v>158</v>
      </c>
      <c r="M36">
        <v>7691.3</v>
      </c>
    </row>
    <row r="37" spans="1:13" x14ac:dyDescent="0.3">
      <c r="A37" t="s">
        <v>19</v>
      </c>
      <c r="B37" t="s">
        <v>55</v>
      </c>
      <c r="C37">
        <v>699</v>
      </c>
      <c r="D37">
        <v>37784.900000000016</v>
      </c>
      <c r="G37" t="s">
        <v>19</v>
      </c>
      <c r="H37" t="s">
        <v>55</v>
      </c>
      <c r="I37">
        <v>699</v>
      </c>
      <c r="K37" t="s">
        <v>19</v>
      </c>
      <c r="L37" t="s">
        <v>55</v>
      </c>
      <c r="M37">
        <v>37784.900000000016</v>
      </c>
    </row>
    <row r="38" spans="1:13" x14ac:dyDescent="0.3">
      <c r="A38" t="s">
        <v>19</v>
      </c>
      <c r="B38" t="s">
        <v>342</v>
      </c>
      <c r="C38">
        <v>23</v>
      </c>
      <c r="D38">
        <v>1129.7</v>
      </c>
      <c r="G38" t="s">
        <v>19</v>
      </c>
      <c r="H38" t="s">
        <v>342</v>
      </c>
      <c r="I38">
        <v>23</v>
      </c>
      <c r="K38" t="s">
        <v>19</v>
      </c>
      <c r="L38" t="s">
        <v>342</v>
      </c>
      <c r="M38">
        <v>1129.7</v>
      </c>
    </row>
    <row r="39" spans="1:13" x14ac:dyDescent="0.3">
      <c r="A39" t="s">
        <v>19</v>
      </c>
      <c r="B39" t="s">
        <v>59</v>
      </c>
      <c r="C39">
        <v>356</v>
      </c>
      <c r="D39">
        <v>20988.9</v>
      </c>
      <c r="G39" t="s">
        <v>19</v>
      </c>
      <c r="H39" t="s">
        <v>59</v>
      </c>
      <c r="I39">
        <v>356</v>
      </c>
      <c r="K39" t="s">
        <v>19</v>
      </c>
      <c r="L39" t="s">
        <v>59</v>
      </c>
      <c r="M39">
        <v>20988.9</v>
      </c>
    </row>
    <row r="40" spans="1:13" x14ac:dyDescent="0.3">
      <c r="A40" t="s">
        <v>19</v>
      </c>
      <c r="B40" t="s">
        <v>62</v>
      </c>
      <c r="C40">
        <v>1768</v>
      </c>
      <c r="D40">
        <v>98367.099999999977</v>
      </c>
      <c r="G40" t="s">
        <v>19</v>
      </c>
      <c r="H40" t="s">
        <v>62</v>
      </c>
      <c r="I40">
        <v>1768</v>
      </c>
      <c r="K40" t="s">
        <v>19</v>
      </c>
      <c r="L40" t="s">
        <v>62</v>
      </c>
      <c r="M40">
        <v>98367.099999999977</v>
      </c>
    </row>
    <row r="41" spans="1:13" x14ac:dyDescent="0.3">
      <c r="A41" t="s">
        <v>19</v>
      </c>
      <c r="B41" t="s">
        <v>103</v>
      </c>
      <c r="C41">
        <v>307</v>
      </c>
      <c r="D41">
        <v>21911.9</v>
      </c>
      <c r="G41" t="s">
        <v>19</v>
      </c>
      <c r="H41" t="s">
        <v>103</v>
      </c>
      <c r="I41">
        <v>307</v>
      </c>
      <c r="K41" t="s">
        <v>19</v>
      </c>
      <c r="L41" t="s">
        <v>103</v>
      </c>
      <c r="M41">
        <v>21911.9</v>
      </c>
    </row>
    <row r="42" spans="1:13" x14ac:dyDescent="0.3">
      <c r="A42" t="s">
        <v>19</v>
      </c>
      <c r="B42" t="s">
        <v>201</v>
      </c>
      <c r="C42">
        <v>117</v>
      </c>
      <c r="D42">
        <v>5441.2</v>
      </c>
      <c r="G42" t="s">
        <v>19</v>
      </c>
      <c r="H42" t="s">
        <v>201</v>
      </c>
      <c r="I42">
        <v>117</v>
      </c>
      <c r="K42" t="s">
        <v>19</v>
      </c>
      <c r="L42" t="s">
        <v>201</v>
      </c>
      <c r="M42">
        <v>5441.2</v>
      </c>
    </row>
    <row r="43" spans="1:13" x14ac:dyDescent="0.3">
      <c r="A43" t="s">
        <v>19</v>
      </c>
      <c r="B43" t="s">
        <v>429</v>
      </c>
      <c r="C43">
        <v>13</v>
      </c>
      <c r="D43">
        <v>392.8</v>
      </c>
      <c r="G43" t="s">
        <v>19</v>
      </c>
      <c r="H43" t="s">
        <v>429</v>
      </c>
      <c r="I43">
        <v>13</v>
      </c>
      <c r="K43" t="s">
        <v>19</v>
      </c>
      <c r="L43" t="s">
        <v>429</v>
      </c>
      <c r="M43">
        <v>392.8</v>
      </c>
    </row>
    <row r="44" spans="1:13" x14ac:dyDescent="0.3">
      <c r="A44" t="s">
        <v>19</v>
      </c>
      <c r="B44" t="s">
        <v>72</v>
      </c>
      <c r="C44">
        <v>364</v>
      </c>
      <c r="D44">
        <v>16172.000000000005</v>
      </c>
      <c r="G44" t="s">
        <v>19</v>
      </c>
      <c r="H44" t="s">
        <v>72</v>
      </c>
      <c r="I44">
        <v>364</v>
      </c>
      <c r="K44" t="s">
        <v>19</v>
      </c>
      <c r="L44" t="s">
        <v>72</v>
      </c>
      <c r="M44">
        <v>16172.000000000005</v>
      </c>
    </row>
    <row r="45" spans="1:13" x14ac:dyDescent="0.3">
      <c r="A45" t="s">
        <v>19</v>
      </c>
      <c r="B45" t="s">
        <v>74</v>
      </c>
      <c r="C45">
        <v>95</v>
      </c>
      <c r="D45">
        <v>4334.9999999999991</v>
      </c>
      <c r="G45" t="s">
        <v>19</v>
      </c>
      <c r="H45" t="s">
        <v>74</v>
      </c>
      <c r="I45">
        <v>95</v>
      </c>
      <c r="K45" t="s">
        <v>19</v>
      </c>
      <c r="L45" t="s">
        <v>74</v>
      </c>
      <c r="M45">
        <v>4334.9999999999991</v>
      </c>
    </row>
    <row r="46" spans="1:13" x14ac:dyDescent="0.3">
      <c r="A46" t="s">
        <v>19</v>
      </c>
      <c r="B46" t="s">
        <v>77</v>
      </c>
      <c r="C46">
        <v>737</v>
      </c>
      <c r="D46">
        <v>37449.000000000007</v>
      </c>
      <c r="G46" t="s">
        <v>19</v>
      </c>
      <c r="H46" t="s">
        <v>77</v>
      </c>
      <c r="I46">
        <v>737</v>
      </c>
      <c r="K46" t="s">
        <v>19</v>
      </c>
      <c r="L46" t="s">
        <v>77</v>
      </c>
      <c r="M46">
        <v>37449.000000000007</v>
      </c>
    </row>
    <row r="47" spans="1:13" x14ac:dyDescent="0.3">
      <c r="A47" t="s">
        <v>19</v>
      </c>
      <c r="B47" t="s">
        <v>309</v>
      </c>
      <c r="C47">
        <v>39</v>
      </c>
      <c r="D47">
        <v>2447.5</v>
      </c>
      <c r="G47" t="s">
        <v>19</v>
      </c>
      <c r="H47" t="s">
        <v>309</v>
      </c>
      <c r="I47">
        <v>39</v>
      </c>
      <c r="K47" t="s">
        <v>19</v>
      </c>
      <c r="L47" t="s">
        <v>309</v>
      </c>
      <c r="M47">
        <v>2447.5</v>
      </c>
    </row>
    <row r="48" spans="1:13" x14ac:dyDescent="0.3">
      <c r="A48" t="s">
        <v>19</v>
      </c>
      <c r="B48" t="s">
        <v>1116</v>
      </c>
      <c r="C48">
        <v>56</v>
      </c>
      <c r="D48">
        <v>3391.1</v>
      </c>
      <c r="G48" t="s">
        <v>19</v>
      </c>
      <c r="H48" t="s">
        <v>1116</v>
      </c>
      <c r="I48">
        <v>56</v>
      </c>
      <c r="K48" t="s">
        <v>19</v>
      </c>
      <c r="L48" t="s">
        <v>1116</v>
      </c>
      <c r="M48">
        <v>3391.1</v>
      </c>
    </row>
    <row r="49" spans="1:13" x14ac:dyDescent="0.3">
      <c r="A49" t="s">
        <v>19</v>
      </c>
      <c r="B49" t="s">
        <v>700</v>
      </c>
      <c r="C49">
        <v>2</v>
      </c>
      <c r="D49">
        <v>30.8</v>
      </c>
      <c r="G49" t="s">
        <v>19</v>
      </c>
      <c r="H49" t="s">
        <v>700</v>
      </c>
      <c r="I49">
        <v>2</v>
      </c>
      <c r="K49" t="s">
        <v>19</v>
      </c>
      <c r="L49" t="s">
        <v>700</v>
      </c>
      <c r="M49">
        <v>30.8</v>
      </c>
    </row>
    <row r="50" spans="1:13" x14ac:dyDescent="0.3">
      <c r="A50" t="s">
        <v>19</v>
      </c>
      <c r="B50" t="s">
        <v>268</v>
      </c>
      <c r="C50">
        <v>8</v>
      </c>
      <c r="D50">
        <v>332.3</v>
      </c>
      <c r="G50" t="s">
        <v>19</v>
      </c>
      <c r="H50" t="s">
        <v>268</v>
      </c>
      <c r="I50">
        <v>8</v>
      </c>
      <c r="K50" t="s">
        <v>19</v>
      </c>
      <c r="L50" t="s">
        <v>268</v>
      </c>
      <c r="M50">
        <v>332.3</v>
      </c>
    </row>
    <row r="51" spans="1:13" x14ac:dyDescent="0.3">
      <c r="A51" t="s">
        <v>19</v>
      </c>
      <c r="B51" t="s">
        <v>377</v>
      </c>
      <c r="C51">
        <v>52</v>
      </c>
      <c r="D51">
        <v>3175.9999999999995</v>
      </c>
      <c r="G51" t="s">
        <v>19</v>
      </c>
      <c r="H51" t="s">
        <v>377</v>
      </c>
      <c r="I51">
        <v>52</v>
      </c>
      <c r="K51" t="s">
        <v>19</v>
      </c>
      <c r="L51" t="s">
        <v>377</v>
      </c>
      <c r="M51">
        <v>3175.9999999999995</v>
      </c>
    </row>
    <row r="52" spans="1:13" x14ac:dyDescent="0.3">
      <c r="A52" t="s">
        <v>19</v>
      </c>
      <c r="B52" t="s">
        <v>108</v>
      </c>
      <c r="C52">
        <v>295</v>
      </c>
      <c r="D52">
        <v>20939.600000000002</v>
      </c>
      <c r="G52" t="s">
        <v>19</v>
      </c>
      <c r="H52" t="s">
        <v>108</v>
      </c>
      <c r="I52">
        <v>295</v>
      </c>
      <c r="K52" t="s">
        <v>19</v>
      </c>
      <c r="L52" t="s">
        <v>108</v>
      </c>
      <c r="M52">
        <v>20939.600000000002</v>
      </c>
    </row>
    <row r="53" spans="1:13" x14ac:dyDescent="0.3">
      <c r="A53" t="s">
        <v>19</v>
      </c>
      <c r="B53" t="s">
        <v>110</v>
      </c>
      <c r="C53">
        <v>195</v>
      </c>
      <c r="D53">
        <v>10185.899999999996</v>
      </c>
      <c r="G53" t="s">
        <v>19</v>
      </c>
      <c r="H53" t="s">
        <v>110</v>
      </c>
      <c r="I53">
        <v>195</v>
      </c>
      <c r="K53" t="s">
        <v>19</v>
      </c>
      <c r="L53" t="s">
        <v>110</v>
      </c>
      <c r="M53">
        <v>10185.899999999996</v>
      </c>
    </row>
    <row r="54" spans="1:13" x14ac:dyDescent="0.3">
      <c r="A54" t="s">
        <v>19</v>
      </c>
      <c r="B54" t="s">
        <v>292</v>
      </c>
      <c r="C54">
        <v>20</v>
      </c>
      <c r="D54">
        <v>958.7</v>
      </c>
      <c r="G54" t="s">
        <v>19</v>
      </c>
      <c r="H54" t="s">
        <v>292</v>
      </c>
      <c r="I54">
        <v>20</v>
      </c>
      <c r="K54" t="s">
        <v>19</v>
      </c>
      <c r="L54" t="s">
        <v>292</v>
      </c>
      <c r="M54">
        <v>958.7</v>
      </c>
    </row>
    <row r="55" spans="1:13" x14ac:dyDescent="0.3">
      <c r="A55" t="s">
        <v>19</v>
      </c>
      <c r="B55" t="s">
        <v>79</v>
      </c>
      <c r="C55">
        <v>6</v>
      </c>
      <c r="D55">
        <v>323</v>
      </c>
      <c r="G55" t="s">
        <v>19</v>
      </c>
      <c r="H55" t="s">
        <v>79</v>
      </c>
      <c r="I55">
        <v>6</v>
      </c>
      <c r="K55" t="s">
        <v>19</v>
      </c>
      <c r="L55" t="s">
        <v>79</v>
      </c>
      <c r="M55">
        <v>323</v>
      </c>
    </row>
    <row r="56" spans="1:13" x14ac:dyDescent="0.3">
      <c r="A56" t="s">
        <v>19</v>
      </c>
      <c r="B56" t="s">
        <v>608</v>
      </c>
      <c r="C56">
        <v>5</v>
      </c>
      <c r="D56">
        <v>167.70000000000002</v>
      </c>
      <c r="G56" t="s">
        <v>19</v>
      </c>
      <c r="H56" t="s">
        <v>608</v>
      </c>
      <c r="I56">
        <v>5</v>
      </c>
      <c r="K56" t="s">
        <v>19</v>
      </c>
      <c r="L56" t="s">
        <v>608</v>
      </c>
      <c r="M56">
        <v>167.70000000000002</v>
      </c>
    </row>
    <row r="57" spans="1:13" x14ac:dyDescent="0.3">
      <c r="A57" t="s">
        <v>19</v>
      </c>
      <c r="B57" t="s">
        <v>113</v>
      </c>
      <c r="C57">
        <v>94</v>
      </c>
      <c r="D57">
        <v>3978.5</v>
      </c>
      <c r="G57" t="s">
        <v>19</v>
      </c>
      <c r="H57" t="s">
        <v>113</v>
      </c>
      <c r="I57">
        <v>94</v>
      </c>
      <c r="K57" t="s">
        <v>19</v>
      </c>
      <c r="L57" t="s">
        <v>113</v>
      </c>
      <c r="M57">
        <v>3978.5</v>
      </c>
    </row>
    <row r="58" spans="1:13" x14ac:dyDescent="0.3">
      <c r="A58" t="s">
        <v>19</v>
      </c>
      <c r="B58" t="s">
        <v>997</v>
      </c>
      <c r="C58">
        <v>28</v>
      </c>
      <c r="D58">
        <v>1405</v>
      </c>
      <c r="G58" t="s">
        <v>19</v>
      </c>
      <c r="H58" t="s">
        <v>997</v>
      </c>
      <c r="I58">
        <v>28</v>
      </c>
      <c r="K58" t="s">
        <v>19</v>
      </c>
      <c r="L58" t="s">
        <v>997</v>
      </c>
      <c r="M58">
        <v>1405</v>
      </c>
    </row>
    <row r="59" spans="1:13" x14ac:dyDescent="0.3">
      <c r="A59" t="s">
        <v>19</v>
      </c>
      <c r="B59" t="s">
        <v>82</v>
      </c>
      <c r="C59">
        <v>179</v>
      </c>
      <c r="D59">
        <v>9869.0999999999985</v>
      </c>
      <c r="G59" t="s">
        <v>19</v>
      </c>
      <c r="H59" t="s">
        <v>82</v>
      </c>
      <c r="I59">
        <v>179</v>
      </c>
      <c r="K59" t="s">
        <v>19</v>
      </c>
      <c r="L59" t="s">
        <v>82</v>
      </c>
      <c r="M59">
        <v>9869.0999999999985</v>
      </c>
    </row>
    <row r="60" spans="1:13" x14ac:dyDescent="0.3">
      <c r="A60" t="s">
        <v>19</v>
      </c>
      <c r="B60" t="s">
        <v>243</v>
      </c>
      <c r="C60">
        <v>15</v>
      </c>
      <c r="D60">
        <v>615.29999999999995</v>
      </c>
      <c r="G60" t="s">
        <v>19</v>
      </c>
      <c r="H60" t="s">
        <v>243</v>
      </c>
      <c r="I60">
        <v>15</v>
      </c>
      <c r="K60" t="s">
        <v>19</v>
      </c>
      <c r="L60" t="s">
        <v>243</v>
      </c>
      <c r="M60">
        <v>615.29999999999995</v>
      </c>
    </row>
    <row r="61" spans="1:13" x14ac:dyDescent="0.3">
      <c r="A61" t="s">
        <v>19</v>
      </c>
      <c r="B61" t="s">
        <v>1911</v>
      </c>
      <c r="C61">
        <v>3</v>
      </c>
      <c r="D61">
        <v>285</v>
      </c>
      <c r="G61" t="s">
        <v>19</v>
      </c>
      <c r="H61" t="s">
        <v>1911</v>
      </c>
      <c r="I61">
        <v>3</v>
      </c>
      <c r="K61" t="s">
        <v>19</v>
      </c>
      <c r="L61" t="s">
        <v>1911</v>
      </c>
      <c r="M61">
        <v>285</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04FF4-5A35-45C5-B94C-428DA3452112}">
  <dimension ref="A3:G8"/>
  <sheetViews>
    <sheetView workbookViewId="0">
      <selection activeCell="F7" sqref="F7"/>
    </sheetView>
  </sheetViews>
  <sheetFormatPr defaultRowHeight="14.4" x14ac:dyDescent="0.3"/>
  <cols>
    <col min="1" max="1" width="12.44140625" bestFit="1" customWidth="1"/>
    <col min="2" max="2" width="15.5546875" bestFit="1" customWidth="1"/>
    <col min="3" max="4" width="4" bestFit="1" customWidth="1"/>
    <col min="5" max="5" width="5" bestFit="1" customWidth="1"/>
    <col min="6" max="6" width="4" bestFit="1" customWidth="1"/>
    <col min="7" max="7" width="10.5546875" bestFit="1" customWidth="1"/>
    <col min="8" max="32" width="9" bestFit="1" customWidth="1"/>
    <col min="33" max="89" width="9.44140625" bestFit="1" customWidth="1"/>
    <col min="90" max="90" width="10.5546875" bestFit="1" customWidth="1"/>
  </cols>
  <sheetData>
    <row r="3" spans="1:7" x14ac:dyDescent="0.3">
      <c r="A3" s="4" t="s">
        <v>2504</v>
      </c>
      <c r="B3" s="4" t="s">
        <v>2515</v>
      </c>
    </row>
    <row r="4" spans="1:7" x14ac:dyDescent="0.3">
      <c r="A4" s="4" t="s">
        <v>2513</v>
      </c>
      <c r="B4">
        <v>1</v>
      </c>
      <c r="C4">
        <v>2</v>
      </c>
      <c r="D4">
        <v>3</v>
      </c>
      <c r="E4">
        <v>4</v>
      </c>
      <c r="F4">
        <v>5</v>
      </c>
      <c r="G4" t="s">
        <v>2514</v>
      </c>
    </row>
    <row r="5" spans="1:7" x14ac:dyDescent="0.3">
      <c r="A5" s="5" t="s">
        <v>2525</v>
      </c>
      <c r="B5">
        <v>7</v>
      </c>
      <c r="C5">
        <v>37</v>
      </c>
      <c r="D5">
        <v>150</v>
      </c>
      <c r="E5">
        <v>312</v>
      </c>
      <c r="F5">
        <v>224</v>
      </c>
      <c r="G5">
        <v>730</v>
      </c>
    </row>
    <row r="6" spans="1:7" x14ac:dyDescent="0.3">
      <c r="A6" s="5" t="s">
        <v>2526</v>
      </c>
      <c r="B6">
        <v>8</v>
      </c>
      <c r="C6">
        <v>51</v>
      </c>
      <c r="D6">
        <v>182</v>
      </c>
      <c r="E6">
        <v>373</v>
      </c>
      <c r="F6">
        <v>247</v>
      </c>
      <c r="G6">
        <v>861</v>
      </c>
    </row>
    <row r="7" spans="1:7" x14ac:dyDescent="0.3">
      <c r="A7" s="5" t="s">
        <v>2527</v>
      </c>
      <c r="B7">
        <v>6</v>
      </c>
      <c r="C7">
        <v>39</v>
      </c>
      <c r="D7">
        <v>163</v>
      </c>
      <c r="E7">
        <v>351</v>
      </c>
      <c r="F7">
        <v>250</v>
      </c>
      <c r="G7">
        <v>809</v>
      </c>
    </row>
    <row r="8" spans="1:7" x14ac:dyDescent="0.3">
      <c r="A8" s="5" t="s">
        <v>2514</v>
      </c>
      <c r="B8">
        <v>21</v>
      </c>
      <c r="C8">
        <v>127</v>
      </c>
      <c r="D8">
        <v>495</v>
      </c>
      <c r="E8">
        <v>1036</v>
      </c>
      <c r="F8">
        <v>721</v>
      </c>
      <c r="G8">
        <v>2400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B15" sqref="B15"/>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tabSelected="1" topLeftCell="A2" zoomScale="67" zoomScaleNormal="60" workbookViewId="0">
      <selection activeCell="AB3" sqref="AB3"/>
    </sheetView>
  </sheetViews>
  <sheetFormatPr defaultRowHeight="14.4" x14ac:dyDescent="0.3"/>
  <cols>
    <col min="1" max="1" width="3.33203125" customWidth="1"/>
    <col min="2" max="2" width="22.21875" customWidth="1"/>
    <col min="3" max="4" width="3.33203125" customWidth="1"/>
    <col min="26" max="26" width="3.33203125" customWidth="1"/>
  </cols>
  <sheetData/>
  <dataValidations count="1">
    <dataValidation type="list" allowBlank="1" showInputMessage="1" showErrorMessage="1" sqref="AA9" xr:uid="{5394BC2D-0ADC-4BAD-913A-D763B69CD582}">
      <formula1>"yes,no,not sure"</formula1>
    </dataValidation>
  </dataValidation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pivots</vt:lpstr>
      <vt:lpstr>Sheet2</vt:lpstr>
      <vt:lpstr>Sheet3</vt:lpstr>
      <vt:lpstr>Sheet4</vt:lpstr>
      <vt:lpstr>Sheet5</vt:lpstr>
      <vt:lpstr>Sheet6</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SrimanReddy Banka</cp:lastModifiedBy>
  <dcterms:created xsi:type="dcterms:W3CDTF">2025-06-13T02:42:26Z</dcterms:created>
  <dcterms:modified xsi:type="dcterms:W3CDTF">2026-02-07T10:10:32Z</dcterms:modified>
</cp:coreProperties>
</file>